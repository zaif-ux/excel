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 Quality Review" sheetId="2" state="visible" r:id="rId4"/>
    <sheet name="Outreach_Data" sheetId="3" state="visible" r:id="rId5"/>
    <sheet name="Lists" sheetId="4" state="visible" r:id="rId6"/>
  </sheets>
  <definedNames>
    <definedName function="false" hidden="true" localSheetId="2" name="_xlnm._FilterDatabase" vbProcedure="false">Outreach_Data!$A$1:$AB$79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<sst xmlns="http://schemas.openxmlformats.org/spreadsheetml/2006/main" count="1263" uniqueCount="611">
  <si>
    <t xml:space="preserve">EMBASSY OUTREACH — LEADERSHIP DASHBOARD</t>
  </si>
  <si>
    <t xml:space="preserve">UNIQUE EMBASSIES</t>
  </si>
  <si>
    <t xml:space="preserve">OUTREACH COVERAGE</t>
  </si>
  <si>
    <t xml:space="preserve">ENGAGEMENT RATE</t>
  </si>
  <si>
    <t xml:space="preserve">ACTIVE PARTNERSHIPS</t>
  </si>
  <si>
    <t xml:space="preserve">OVERDUE FOLLOW-UPS</t>
  </si>
  <si>
    <t xml:space="preserve">STALE CONTACTS</t>
  </si>
  <si>
    <t xml:space="preserve">RECORDS WITH DATA ISSUES</t>
  </si>
  <si>
    <t xml:space="preserve">Pipeline by Status</t>
  </si>
  <si>
    <t xml:space="preserve">Regional Performance</t>
  </si>
  <si>
    <t xml:space="preserve">Engagement Level</t>
  </si>
  <si>
    <t xml:space="preserve">Status</t>
  </si>
  <si>
    <t xml:space="preserve">Records</t>
  </si>
  <si>
    <t xml:space="preserve">% of Total</t>
  </si>
  <si>
    <t xml:space="preserve">Region</t>
  </si>
  <si>
    <t xml:space="preserve">Contacted</t>
  </si>
  <si>
    <t xml:space="preserve">Engaged</t>
  </si>
  <si>
    <t xml:space="preserve">Active Partners</t>
  </si>
  <si>
    <t xml:space="preserve">Engagement Rate</t>
  </si>
  <si>
    <t xml:space="preserve">Overdue</t>
  </si>
  <si>
    <t xml:space="preserve">Level</t>
  </si>
  <si>
    <t xml:space="preserve">Not Started</t>
  </si>
  <si>
    <t xml:space="preserve">Europe</t>
  </si>
  <si>
    <t xml:space="preserve">High</t>
  </si>
  <si>
    <t xml:space="preserve">Asia-Pacific</t>
  </si>
  <si>
    <t xml:space="preserve">Medium</t>
  </si>
  <si>
    <t xml:space="preserve">No Response</t>
  </si>
  <si>
    <t xml:space="preserve">Middle East</t>
  </si>
  <si>
    <t xml:space="preserve">Low</t>
  </si>
  <si>
    <t xml:space="preserve">In Discussion</t>
  </si>
  <si>
    <t xml:space="preserve">Africa</t>
  </si>
  <si>
    <t xml:space="preserve">None</t>
  </si>
  <si>
    <t xml:space="preserve">Meeting Scheduled</t>
  </si>
  <si>
    <t xml:space="preserve">Americas</t>
  </si>
  <si>
    <t xml:space="preserve">Not Recorded</t>
  </si>
  <si>
    <t xml:space="preserve">Partnership Active</t>
  </si>
  <si>
    <t xml:space="preserve">Total</t>
  </si>
  <si>
    <t xml:space="preserve">On Hold</t>
  </si>
  <si>
    <t xml:space="preserve">Last Contact by Month</t>
  </si>
  <si>
    <t xml:space="preserve">Owner Workload</t>
  </si>
  <si>
    <t xml:space="preserve">Month</t>
  </si>
  <si>
    <t xml:space="preserve">Embassies</t>
  </si>
  <si>
    <t xml:space="preserve">Owner</t>
  </si>
  <si>
    <t xml:space="preserve">Jan 26</t>
  </si>
  <si>
    <t xml:space="preserve">Aisha Khan</t>
  </si>
  <si>
    <t xml:space="preserve">Feb 26</t>
  </si>
  <si>
    <t xml:space="preserve">Rohan Mehta</t>
  </si>
  <si>
    <t xml:space="preserve">Mar 26</t>
  </si>
  <si>
    <t xml:space="preserve">Priya Nair</t>
  </si>
  <si>
    <t xml:space="preserve">Apr 26</t>
  </si>
  <si>
    <t xml:space="preserve">Imran Sheikh</t>
  </si>
  <si>
    <t xml:space="preserve">May 26</t>
  </si>
  <si>
    <t xml:space="preserve">Neha Verma</t>
  </si>
  <si>
    <t xml:space="preserve">Jun 26</t>
  </si>
  <si>
    <t xml:space="preserve">Karan Joshi</t>
  </si>
  <si>
    <t xml:space="preserve">Jul 26</t>
  </si>
  <si>
    <t xml:space="preserve">Unassigned</t>
  </si>
  <si>
    <t xml:space="preserve">Aug 26</t>
  </si>
  <si>
    <t xml:space="preserve">Sep 26</t>
  </si>
  <si>
    <t xml:space="preserve">Oct 26</t>
  </si>
  <si>
    <t xml:space="preserve">Priority Attention List — Top 10 Overdue Follow-ups (ranked by days overdue)</t>
  </si>
  <si>
    <t xml:space="preserve">Embassy</t>
  </si>
  <si>
    <t xml:space="preserve">Days Overdue</t>
  </si>
  <si>
    <t xml:space="preserve">Next Action</t>
  </si>
  <si>
    <t xml:space="preserve">Contact Person</t>
  </si>
  <si>
    <t xml:space="preserve">helper: data row index</t>
  </si>
  <si>
    <t xml:space="preserve">Key Insights (auto-generated from the data)</t>
  </si>
  <si>
    <t xml:space="preserve">Definitions — Contacted: status other than Not Started / Not Recorded. Engaged: In Discussion, Meeting Scheduled or Partnership Active. Overdue: Next Action Due earlier than the as-of date (On Hold excluded). Stale: last contact older than the threshold on the Lists sheet. Labels are standardised via the Lists sheet; 'Not Recorded' = blank or unrecognised.</t>
  </si>
  <si>
    <t xml:space="preserve">Built by Md. Huzeifa Yaseen Shaikh  |  GitHub: github.com/zaif-ux  |  Synthetic sample data created with AI assistance (Claude) for a portfolio project</t>
  </si>
  <si>
    <t xml:space="preserve">DATA QUALITY REVIEW — EMBASSY OUTREACH DATABASE</t>
  </si>
  <si>
    <t xml:space="preserve">#</t>
  </si>
  <si>
    <t xml:space="preserve">Check</t>
  </si>
  <si>
    <t xml:space="preserve">Field(s)</t>
  </si>
  <si>
    <t xml:space="preserve">Records Affected</t>
  </si>
  <si>
    <t xml:space="preserve">% of Records</t>
  </si>
  <si>
    <t xml:space="preserve">Severity</t>
  </si>
  <si>
    <t xml:space="preserve">Impact on reporting / decisions</t>
  </si>
  <si>
    <t xml:space="preserve">Recommended fix</t>
  </si>
  <si>
    <t xml:space="preserve">Duplicate embassy entries</t>
  </si>
  <si>
    <t xml:space="preserve">Embassy (Country)</t>
  </si>
  <si>
    <t xml:space="preserve">Same embassy appears under more than one ID with different owners/contacts; inflates counts and splits history.</t>
  </si>
  <si>
    <t xml:space="preserve">Merge duplicates; enforce one primary record per embassy with multiple contacts in a child table.</t>
  </si>
  <si>
    <t xml:space="preserve">Status not recorded</t>
  </si>
  <si>
    <t xml:space="preserve">Record cannot be placed in the pipeline; understates progress.</t>
  </si>
  <si>
    <t xml:space="preserve">Make Status mandatory (dropdown).</t>
  </si>
  <si>
    <t xml:space="preserve">Non-standard status labels</t>
  </si>
  <si>
    <t xml:space="preserve">Case/spacing/abbreviation variants (e.g. 'Active', 'in discussion') break pivots and filters unless cleaned.</t>
  </si>
  <si>
    <t xml:space="preserve">Replace free text with a controlled dropdown list.</t>
  </si>
  <si>
    <t xml:space="preserve">Region missing</t>
  </si>
  <si>
    <t xml:space="preserve">Regional engagement cannot be monitored for these embassies.</t>
  </si>
  <si>
    <t xml:space="preserve">Derive region from country via lookup table.</t>
  </si>
  <si>
    <t xml:space="preserve">Non-standard region labels</t>
  </si>
  <si>
    <t xml:space="preserve">Variants such as 'APAC' and 'Asia Pacific' split one region into several.</t>
  </si>
  <si>
    <t xml:space="preserve">Standardise to five regions via lookup.</t>
  </si>
  <si>
    <t xml:space="preserve">Engagement level missing</t>
  </si>
  <si>
    <t xml:space="preserve">Engagement mix is understated.</t>
  </si>
  <si>
    <t xml:space="preserve">Define scoring rules (interactions, recency) and auto-calculate.</t>
  </si>
  <si>
    <t xml:space="preserve">Non-standard engagement labels</t>
  </si>
  <si>
    <t xml:space="preserve">Inconsistent capitalisation / abbreviations ('Med', 'Nil').</t>
  </si>
  <si>
    <t xml:space="preserve">Dropdown list.</t>
  </si>
  <si>
    <t xml:space="preserve">No owner assigned</t>
  </si>
  <si>
    <t xml:space="preserve">No accountability for follow-up; invisible in owner workload.</t>
  </si>
  <si>
    <t xml:space="preserve">Assign an owner to every record; review weekly.</t>
  </si>
  <si>
    <t xml:space="preserve">Contact person missing</t>
  </si>
  <si>
    <t xml:space="preserve">Outreach cannot be personalised; hard to hand over.</t>
  </si>
  <si>
    <t xml:space="preserve">Capture at least one named contact.</t>
  </si>
  <si>
    <t xml:space="preserve">Email missing</t>
  </si>
  <si>
    <t xml:space="preserve">Email</t>
  </si>
  <si>
    <t xml:space="preserve">Embassy cannot be reached by email.</t>
  </si>
  <si>
    <t xml:space="preserve">Source from official embassy sites.</t>
  </si>
  <si>
    <t xml:space="preserve">Invalid email format (no '@')</t>
  </si>
  <si>
    <t xml:space="preserve">Emails will bounce.</t>
  </si>
  <si>
    <t xml:space="preserve">Add format validation at entry.</t>
  </si>
  <si>
    <t xml:space="preserve">Phone missing</t>
  </si>
  <si>
    <t xml:space="preserve">Phone</t>
  </si>
  <si>
    <t xml:space="preserve">Phone escalation not possible.</t>
  </si>
  <si>
    <t xml:space="preserve">Capture from official sources.</t>
  </si>
  <si>
    <t xml:space="preserve">Phone not in +country format</t>
  </si>
  <si>
    <t xml:space="preserve">Inconsistent formats hinder dialling and de-duplication.</t>
  </si>
  <si>
    <t xml:space="preserve">Standardise to international format.</t>
  </si>
  <si>
    <t xml:space="preserve">Dates stored as text</t>
  </si>
  <si>
    <t xml:space="preserve">First / Last Contact, Next Action Due</t>
  </si>
  <si>
    <t xml:space="preserve">Text dates are ignored by date formulas — recency, overdue and monthly trend are understated.</t>
  </si>
  <si>
    <t xml:space="preserve">Convert to true dates; restrict the column to date entry.</t>
  </si>
  <si>
    <t xml:space="preserve">Last contact earlier than first contact</t>
  </si>
  <si>
    <t xml:space="preserve">First / Last Contact</t>
  </si>
  <si>
    <t xml:space="preserve">Logically impossible; distorts engagement history.</t>
  </si>
  <si>
    <t xml:space="preserve">Correct dates; add validation (Last ≥ First).</t>
  </si>
  <si>
    <t xml:space="preserve">Last contact date in the future</t>
  </si>
  <si>
    <t xml:space="preserve">Last Contact Date</t>
  </si>
  <si>
    <t xml:space="preserve">Probably typos; hides stale records.</t>
  </si>
  <si>
    <t xml:space="preserve">Validate against today's date.</t>
  </si>
  <si>
    <t xml:space="preserve">Outreach started but no contact date</t>
  </si>
  <si>
    <t xml:space="preserve">Last Contact Date vs Status</t>
  </si>
  <si>
    <t xml:space="preserve">Cannot measure recency or follow-up timing.</t>
  </si>
  <si>
    <t xml:space="preserve">Log a date for every touchpoint.</t>
  </si>
  <si>
    <t xml:space="preserve">Status conflicts with interaction count</t>
  </si>
  <si>
    <t xml:space="preserve">Status vs Interactions</t>
  </si>
  <si>
    <t xml:space="preserve">Either the status or the interaction log is wrong.</t>
  </si>
  <si>
    <t xml:space="preserve">Review and align; auto-update status from activity log.</t>
  </si>
  <si>
    <t xml:space="preserve">Active partnership with Low/None engagement</t>
  </si>
  <si>
    <t xml:space="preserve">Status vs Engagement</t>
  </si>
  <si>
    <t xml:space="preserve">Contradiction: either at-risk partnership or wrong rating.</t>
  </si>
  <si>
    <t xml:space="preserve">Review with owner.</t>
  </si>
  <si>
    <t xml:space="preserve">Next action due date missing</t>
  </si>
  <si>
    <t xml:space="preserve">Next Action Due</t>
  </si>
  <si>
    <t xml:space="preserve">No follow-up trigger; records can silently go cold.</t>
  </si>
  <si>
    <t xml:space="preserve">Require a due date for every open record.</t>
  </si>
  <si>
    <t xml:space="preserve">Outlier interaction count (&gt;20)</t>
  </si>
  <si>
    <t xml:space="preserve">Interactions</t>
  </si>
  <si>
    <t xml:space="preserve">Possible entry error (e.g. 48) skewing averages.</t>
  </si>
  <si>
    <t xml:space="preserve">Verify and correct.</t>
  </si>
  <si>
    <t xml:space="preserve">Summary</t>
  </si>
  <si>
    <t xml:space="preserve">Records in database</t>
  </si>
  <si>
    <t xml:space="preserve">Records with at least one issue</t>
  </si>
  <si>
    <t xml:space="preserve">% of records with at least one issue</t>
  </si>
  <si>
    <t xml:space="preserve">Total issue flags raised (row level)</t>
  </si>
  <si>
    <t xml:space="preserve">Checks with at least one failing record</t>
  </si>
  <si>
    <t xml:space="preserve">Observations &amp; how they were handled in this workbook</t>
  </si>
  <si>
    <t xml:space="preserve">• Label variants (status, region, engagement) were standardised with the Lists sheet via formulas; the raw columns are left untouched so the original entries can be audited.</t>
  </si>
  <si>
    <t xml:space="preserve">• Dates stored as text are not corrected in place; they are excluded from date-based metrics (recency, overdue, monthly trend) and counted as an issue instead.</t>
  </si>
  <si>
    <t xml:space="preserve">• Duplicates are kept in the data; the dashboard shows both unique embassies and total records, so the duplication effect is visible.</t>
  </si>
  <si>
    <t xml:space="preserve">• 'Not Recorded' rows appear in the status, region and engagement tables so that totals always reconcile to the full record count.</t>
  </si>
  <si>
    <t xml:space="preserve">• 'Issue Count' (Outreach_Data, column Y) gives a per-record flag count; filter it to build a clean-up worklist for owners.</t>
  </si>
  <si>
    <t xml:space="preserve">• Data in this workbook is an illustrative sample created for the assessment because the source database was not supplied; patterns shown are not real findings.</t>
  </si>
  <si>
    <t xml:space="preserve">Embassy ID</t>
  </si>
  <si>
    <t xml:space="preserve">Designation</t>
  </si>
  <si>
    <t xml:space="preserve">Outreach Channel</t>
  </si>
  <si>
    <t xml:space="preserve">First Contact Date</t>
  </si>
  <si>
    <t xml:space="preserve">Remarks</t>
  </si>
  <si>
    <t xml:space="preserve">Std Region</t>
  </si>
  <si>
    <t xml:space="preserve">Std Status</t>
  </si>
  <si>
    <t xml:space="preserve">Std Engagement</t>
  </si>
  <si>
    <t xml:space="preserve">Days Since Last Contact</t>
  </si>
  <si>
    <t xml:space="preserve">Overdue? (1/0)</t>
  </si>
  <si>
    <t xml:space="preserve">Stale? (1/0)</t>
  </si>
  <si>
    <t xml:space="preserve">Issue Count</t>
  </si>
  <si>
    <t xml:space="preserve">Priority Key</t>
  </si>
  <si>
    <t xml:space="preserve">Engaged? (1/0)</t>
  </si>
  <si>
    <t xml:space="preserve">Outreach Started? (1/0)</t>
  </si>
  <si>
    <t xml:space="preserve">EMB-001</t>
  </si>
  <si>
    <t xml:space="preserve">Chile</t>
  </si>
  <si>
    <t xml:space="preserve">Layla Silva</t>
  </si>
  <si>
    <t xml:space="preserve">First Secretary</t>
  </si>
  <si>
    <t xml:space="preserve">layla.silva@chile-embassy.example</t>
  </si>
  <si>
    <t xml:space="preserve">+91-11-2846-3330</t>
  </si>
  <si>
    <t xml:space="preserve">Send introductory letter</t>
  </si>
  <si>
    <t xml:space="preserve">Prefers formal letters</t>
  </si>
  <si>
    <t xml:space="preserve">EMB-002</t>
  </si>
  <si>
    <t xml:space="preserve">Indonesia</t>
  </si>
  <si>
    <t xml:space="preserve">Commercial Counsellor</t>
  </si>
  <si>
    <t xml:space="preserve">fatima.lindberg@indonesia-embassy.example</t>
  </si>
  <si>
    <t xml:space="preserve">+91-11-2323-5272</t>
  </si>
  <si>
    <t xml:space="preserve">LOW</t>
  </si>
  <si>
    <t xml:space="preserve">Escalate via phone / alternate contact</t>
  </si>
  <si>
    <t xml:space="preserve">EMB-003</t>
  </si>
  <si>
    <t xml:space="preserve">Mexico</t>
  </si>
  <si>
    <t xml:space="preserve">Grace Garcia</t>
  </si>
  <si>
    <t xml:space="preserve">Protocol Officer</t>
  </si>
  <si>
    <t xml:space="preserve">grace.garcia@mexico-embassy.example</t>
  </si>
  <si>
    <t xml:space="preserve">+91-11-2880-8438</t>
  </si>
  <si>
    <t xml:space="preserve">EMB-004</t>
  </si>
  <si>
    <t xml:space="preserve">Laos</t>
  </si>
  <si>
    <t xml:space="preserve">Pedro Dubois</t>
  </si>
  <si>
    <t xml:space="preserve">pedro.dubois@laos-embassy.example</t>
  </si>
  <si>
    <t xml:space="preserve">+91-11-2302-3085</t>
  </si>
  <si>
    <t xml:space="preserve">in discussion</t>
  </si>
  <si>
    <t xml:space="preserve">Share proposal / MoU draft</t>
  </si>
  <si>
    <t xml:space="preserve">Awaiting reply from HQ</t>
  </si>
  <si>
    <t xml:space="preserve">EMB-005</t>
  </si>
  <si>
    <t xml:space="preserve">Vietnam</t>
  </si>
  <si>
    <t xml:space="preserve">Hiro Petrov</t>
  </si>
  <si>
    <t xml:space="preserve">Ambassador's Office</t>
  </si>
  <si>
    <t xml:space="preserve">hiro.petrov.vietnam-embassy.example</t>
  </si>
  <si>
    <t xml:space="preserve">+91-11-2911-2753</t>
  </si>
  <si>
    <t xml:space="preserve">Letter</t>
  </si>
  <si>
    <t xml:space="preserve">Review in next quarter</t>
  </si>
  <si>
    <t xml:space="preserve">EMB-006</t>
  </si>
  <si>
    <t xml:space="preserve">China</t>
  </si>
  <si>
    <t xml:space="preserve">Lucas Chen</t>
  </si>
  <si>
    <t xml:space="preserve">+91-11-2118-5279</t>
  </si>
  <si>
    <t xml:space="preserve">EMB-007</t>
  </si>
  <si>
    <t xml:space="preserve">Colombia</t>
  </si>
  <si>
    <t xml:space="preserve">Yusuf Chen</t>
  </si>
  <si>
    <t xml:space="preserve">yusuf.chen@colombia-embassy.example</t>
  </si>
  <si>
    <t xml:space="preserve">+91-11-2256-1423</t>
  </si>
  <si>
    <t xml:space="preserve">Holiday season delay</t>
  </si>
  <si>
    <t xml:space="preserve">EMB-008</t>
  </si>
  <si>
    <t xml:space="preserve">Algeria</t>
  </si>
  <si>
    <t xml:space="preserve">Layla Park</t>
  </si>
  <si>
    <t xml:space="preserve">layla.park@algeria-embassy.example</t>
  </si>
  <si>
    <t xml:space="preserve">+91-11-2197-6169</t>
  </si>
  <si>
    <t xml:space="preserve">18-Sep-2026</t>
  </si>
  <si>
    <t xml:space="preserve">Contacted </t>
  </si>
  <si>
    <t xml:space="preserve">Follow-up email</t>
  </si>
  <si>
    <t xml:space="preserve">EMB-009</t>
  </si>
  <si>
    <t xml:space="preserve">Jordan</t>
  </si>
  <si>
    <t xml:space="preserve">Fatima Rossi</t>
  </si>
  <si>
    <t xml:space="preserve">Political Counsellor</t>
  </si>
  <si>
    <t xml:space="preserve">fatima.rossi@jordan-embassy.example</t>
  </si>
  <si>
    <t xml:space="preserve">+91-11-2901-7232</t>
  </si>
  <si>
    <t xml:space="preserve">Event</t>
  </si>
  <si>
    <t xml:space="preserve">Quarterly review call</t>
  </si>
  <si>
    <t xml:space="preserve">EMB-010</t>
  </si>
  <si>
    <t xml:space="preserve">South Korea</t>
  </si>
  <si>
    <t xml:space="preserve">Asia-pacific</t>
  </si>
  <si>
    <t xml:space="preserve">Kwame Fernandez</t>
  </si>
  <si>
    <t xml:space="preserve">kwame.fernandez@southkorea-embassy.example</t>
  </si>
  <si>
    <t xml:space="preserve">+91-11-2735-8973</t>
  </si>
  <si>
    <t xml:space="preserve">EMB-011</t>
  </si>
  <si>
    <t xml:space="preserve">Bangladesh</t>
  </si>
  <si>
    <t xml:space="preserve">Fatima Fernandez</t>
  </si>
  <si>
    <t xml:space="preserve">Cultural Attaché</t>
  </si>
  <si>
    <t xml:space="preserve">fatima.fernandez@bangladesh-embassy.example</t>
  </si>
  <si>
    <t xml:space="preserve">+91-11-2440-3088</t>
  </si>
  <si>
    <t xml:space="preserve">EMB-012</t>
  </si>
  <si>
    <t xml:space="preserve">Switzerland</t>
  </si>
  <si>
    <t xml:space="preserve">Mina Mensah</t>
  </si>
  <si>
    <t xml:space="preserve">Press Officer</t>
  </si>
  <si>
    <t xml:space="preserve">mina.mensah@switzerland-embassy.example</t>
  </si>
  <si>
    <t xml:space="preserve">+91-11-2276-4598</t>
  </si>
  <si>
    <t xml:space="preserve">Meeting</t>
  </si>
  <si>
    <t xml:space="preserve">Prepare meeting brief</t>
  </si>
  <si>
    <t xml:space="preserve">EMB-013</t>
  </si>
  <si>
    <t xml:space="preserve">Italy</t>
  </si>
  <si>
    <t xml:space="preserve">Anna Haddad</t>
  </si>
  <si>
    <t xml:space="preserve">anna.haddad@italy-embassy.example</t>
  </si>
  <si>
    <t xml:space="preserve">+91-11-2432-6574</t>
  </si>
  <si>
    <t xml:space="preserve">Contact changed recently</t>
  </si>
  <si>
    <t xml:space="preserve">EMB-014</t>
  </si>
  <si>
    <t xml:space="preserve">Cambodia</t>
  </si>
  <si>
    <t xml:space="preserve">Lucas Nkosi</t>
  </si>
  <si>
    <t xml:space="preserve">lucas.nkosi@cambodia-embassy.example</t>
  </si>
  <si>
    <t xml:space="preserve">+91-11-2441-2146</t>
  </si>
  <si>
    <t xml:space="preserve">EMB-015</t>
  </si>
  <si>
    <t xml:space="preserve">Malaysia</t>
  </si>
  <si>
    <t xml:space="preserve">Liam Rossi</t>
  </si>
  <si>
    <t xml:space="preserve">liam.rossi@malaysia-embassy.example</t>
  </si>
  <si>
    <t xml:space="preserve">+91-11-2636-2638</t>
  </si>
  <si>
    <t xml:space="preserve">Requested brochure</t>
  </si>
  <si>
    <t xml:space="preserve">EMB-016</t>
  </si>
  <si>
    <t xml:space="preserve">Kuwait</t>
  </si>
  <si>
    <t xml:space="preserve">Sofia Mensah</t>
  </si>
  <si>
    <t xml:space="preserve">sofia.mensah@kuwait-embassy.example</t>
  </si>
  <si>
    <t xml:space="preserve">+91-11-2820-8612</t>
  </si>
  <si>
    <t xml:space="preserve">EMB-017</t>
  </si>
  <si>
    <t xml:space="preserve">Lebanon</t>
  </si>
  <si>
    <t xml:space="preserve">Mina Müller</t>
  </si>
  <si>
    <t xml:space="preserve">mina.müller@lebanon-embassy.example</t>
  </si>
  <si>
    <t xml:space="preserve">EMB-018</t>
  </si>
  <si>
    <t xml:space="preserve">Cuba</t>
  </si>
  <si>
    <t xml:space="preserve">Mina Ali</t>
  </si>
  <si>
    <t xml:space="preserve">mina.ali@cuba-embassy.example</t>
  </si>
  <si>
    <t xml:space="preserve">+91-11-2667-8245</t>
  </si>
  <si>
    <t xml:space="preserve">EMB-019</t>
  </si>
  <si>
    <t xml:space="preserve">South Africa</t>
  </si>
  <si>
    <t xml:space="preserve">Africa </t>
  </si>
  <si>
    <t xml:space="preserve">Liam Ali</t>
  </si>
  <si>
    <t xml:space="preserve">liam.ali@southafrica-embassy.example</t>
  </si>
  <si>
    <t xml:space="preserve">+91-11-2767-9837</t>
  </si>
  <si>
    <t xml:space="preserve">EMB-020</t>
  </si>
  <si>
    <t xml:space="preserve">Turkey</t>
  </si>
  <si>
    <t xml:space="preserve">Mideast</t>
  </si>
  <si>
    <t xml:space="preserve">Lucas Okafor</t>
  </si>
  <si>
    <t xml:space="preserve">lucas.okafor@turkey-embassy.example</t>
  </si>
  <si>
    <t xml:space="preserve">+91-11-2499-4595</t>
  </si>
  <si>
    <t xml:space="preserve">EMB-021</t>
  </si>
  <si>
    <t xml:space="preserve">Russia</t>
  </si>
  <si>
    <t xml:space="preserve">Pedro Tanaka</t>
  </si>
  <si>
    <t xml:space="preserve">pedro.tanaka.russia-embassy.example</t>
  </si>
  <si>
    <t xml:space="preserve">+91-11-2243-5562</t>
  </si>
  <si>
    <t xml:space="preserve">EMB-022</t>
  </si>
  <si>
    <t xml:space="preserve">Norway</t>
  </si>
  <si>
    <t xml:space="preserve">Mina Novak</t>
  </si>
  <si>
    <t xml:space="preserve">mina.novak@norway-embassy.example</t>
  </si>
  <si>
    <t xml:space="preserve">+91-11-2065-7304</t>
  </si>
  <si>
    <t xml:space="preserve">EMB-023</t>
  </si>
  <si>
    <t xml:space="preserve">Australia</t>
  </si>
  <si>
    <t xml:space="preserve">Pedro Müller</t>
  </si>
  <si>
    <t xml:space="preserve">pedro.müller@australia-embassy.example</t>
  </si>
  <si>
    <t xml:space="preserve">EMB-024</t>
  </si>
  <si>
    <t xml:space="preserve">Morocco</t>
  </si>
  <si>
    <t xml:space="preserve">Omar Chen</t>
  </si>
  <si>
    <t xml:space="preserve">omar.chen@morocco-embassy.example</t>
  </si>
  <si>
    <t xml:space="preserve">011 2901 5526</t>
  </si>
  <si>
    <t xml:space="preserve">EMB-025</t>
  </si>
  <si>
    <t xml:space="preserve">Guyana</t>
  </si>
  <si>
    <t xml:space="preserve">yusuf.chen@guyana-embassy.example</t>
  </si>
  <si>
    <t xml:space="preserve">+91-11-2686-2713</t>
  </si>
  <si>
    <t xml:space="preserve">Interested in cultural exchange</t>
  </si>
  <si>
    <t xml:space="preserve">EMB-026</t>
  </si>
  <si>
    <t xml:space="preserve">Japan</t>
  </si>
  <si>
    <t xml:space="preserve">Tariq Ali</t>
  </si>
  <si>
    <t xml:space="preserve">tariq.ali@japan-embassy.example</t>
  </si>
  <si>
    <t xml:space="preserve">EMB-027</t>
  </si>
  <si>
    <t xml:space="preserve">Iran</t>
  </si>
  <si>
    <t xml:space="preserve">Nora Nkosi</t>
  </si>
  <si>
    <t xml:space="preserve">nora.nkosi@iran-embassy.example</t>
  </si>
  <si>
    <t xml:space="preserve">+91-11-2424-7678</t>
  </si>
  <si>
    <t xml:space="preserve">EMB-028</t>
  </si>
  <si>
    <t xml:space="preserve">Bahrain</t>
  </si>
  <si>
    <t xml:space="preserve">mina.ali@bahrain-embassy.example</t>
  </si>
  <si>
    <t xml:space="preserve">+91-11-2265-5050</t>
  </si>
  <si>
    <t xml:space="preserve">EMB-029</t>
  </si>
  <si>
    <t xml:space="preserve">Brazil</t>
  </si>
  <si>
    <t xml:space="preserve">Ingrid Garcia</t>
  </si>
  <si>
    <t xml:space="preserve">ingrid.garcia@brazil-embassy.example</t>
  </si>
  <si>
    <t xml:space="preserve">+91-11-2602-8025</t>
  </si>
  <si>
    <t xml:space="preserve">Meeting postponed once</t>
  </si>
  <si>
    <t xml:space="preserve">EMB-030</t>
  </si>
  <si>
    <t xml:space="preserve">Philippines</t>
  </si>
  <si>
    <t xml:space="preserve">Omar Haddad</t>
  </si>
  <si>
    <t xml:space="preserve">+91-11-2452-8007</t>
  </si>
  <si>
    <t xml:space="preserve">EMB-031</t>
  </si>
  <si>
    <t xml:space="preserve">USA</t>
  </si>
  <si>
    <t xml:space="preserve">Tariq Mensah</t>
  </si>
  <si>
    <t xml:space="preserve">tariq.mensah@usa-embassy.example</t>
  </si>
  <si>
    <t xml:space="preserve">+91-11-2188-1841</t>
  </si>
  <si>
    <t xml:space="preserve">EMB-032</t>
  </si>
  <si>
    <t xml:space="preserve">Argentina</t>
  </si>
  <si>
    <t xml:space="preserve">Diego Tanaka</t>
  </si>
  <si>
    <t xml:space="preserve">diego.tanaka@argentina-embassy.example</t>
  </si>
  <si>
    <t xml:space="preserve">+91-11-2245-3847</t>
  </si>
  <si>
    <t xml:space="preserve">EMB-033</t>
  </si>
  <si>
    <t xml:space="preserve">Sweden</t>
  </si>
  <si>
    <t xml:space="preserve">Ingrid Rahman</t>
  </si>
  <si>
    <t xml:space="preserve">ingrid.rahman@sweden-embassy.example</t>
  </si>
  <si>
    <t xml:space="preserve">+91-11-2379-6820</t>
  </si>
  <si>
    <t xml:space="preserve">low</t>
  </si>
  <si>
    <t xml:space="preserve">EMB-034</t>
  </si>
  <si>
    <t xml:space="preserve">Zambia</t>
  </si>
  <si>
    <t xml:space="preserve">africa</t>
  </si>
  <si>
    <t xml:space="preserve">hiro.petrov@zambia-embassy.example</t>
  </si>
  <si>
    <t xml:space="preserve">+91-11-2997-1893</t>
  </si>
  <si>
    <t xml:space="preserve">EMB-035</t>
  </si>
  <si>
    <t xml:space="preserve">Canada</t>
  </si>
  <si>
    <t xml:space="preserve">Marco Silva</t>
  </si>
  <si>
    <t xml:space="preserve">marco.silva@canada-embassy.example</t>
  </si>
  <si>
    <t xml:space="preserve">+91-11-2830-5978</t>
  </si>
  <si>
    <t xml:space="preserve">EMB-036</t>
  </si>
  <si>
    <t xml:space="preserve">Nigeria</t>
  </si>
  <si>
    <t xml:space="preserve">Elena Haddad</t>
  </si>
  <si>
    <t xml:space="preserve">elena.haddad@nigeria-embassy.example</t>
  </si>
  <si>
    <t xml:space="preserve">(011) 26212876</t>
  </si>
  <si>
    <t xml:space="preserve">EMB-037</t>
  </si>
  <si>
    <t xml:space="preserve">Romania</t>
  </si>
  <si>
    <t xml:space="preserve">Liam Mensah</t>
  </si>
  <si>
    <t xml:space="preserve">liam.mensah@romania-embassy.example</t>
  </si>
  <si>
    <t xml:space="preserve">+91-11-2882-2604</t>
  </si>
  <si>
    <t xml:space="preserve">MEDIUM</t>
  </si>
  <si>
    <t xml:space="preserve">EMB-038</t>
  </si>
  <si>
    <t xml:space="preserve">Austria</t>
  </si>
  <si>
    <t xml:space="preserve">Lucas Petrov</t>
  </si>
  <si>
    <t xml:space="preserve">lucas.petrov@austria-embassy.example</t>
  </si>
  <si>
    <t xml:space="preserve">In Discussion </t>
  </si>
  <si>
    <t xml:space="preserve">EMB-039</t>
  </si>
  <si>
    <t xml:space="preserve">Ireland</t>
  </si>
  <si>
    <t xml:space="preserve">Pedro Rossi</t>
  </si>
  <si>
    <t xml:space="preserve">pedro.rossi@ireland-embassy.example</t>
  </si>
  <si>
    <t xml:space="preserve">011 2567 4770</t>
  </si>
  <si>
    <t xml:space="preserve">contacted</t>
  </si>
  <si>
    <t xml:space="preserve">EMB-040</t>
  </si>
  <si>
    <t xml:space="preserve">UAE</t>
  </si>
  <si>
    <t xml:space="preserve">Anna Garcia</t>
  </si>
  <si>
    <t xml:space="preserve">anna.garcia@uae-embassy.example</t>
  </si>
  <si>
    <t xml:space="preserve">+91-11-2215-8043</t>
  </si>
  <si>
    <t xml:space="preserve">EMB-041</t>
  </si>
  <si>
    <t xml:space="preserve">Ethiopia</t>
  </si>
  <si>
    <t xml:space="preserve">Diego Rahman</t>
  </si>
  <si>
    <t xml:space="preserve">+91-11-2518-6590</t>
  </si>
  <si>
    <t xml:space="preserve">EMB-042</t>
  </si>
  <si>
    <t xml:space="preserve">Germany</t>
  </si>
  <si>
    <t xml:space="preserve">David Olsen</t>
  </si>
  <si>
    <t xml:space="preserve">david.olsen@germany-embassy.example</t>
  </si>
  <si>
    <t xml:space="preserve">Not started</t>
  </si>
  <si>
    <t xml:space="preserve">EMB-043</t>
  </si>
  <si>
    <t xml:space="preserve">Poland</t>
  </si>
  <si>
    <t xml:space="preserve">Fatima Chen</t>
  </si>
  <si>
    <t xml:space="preserve">fatima.chen@poland-embassy.example</t>
  </si>
  <si>
    <t xml:space="preserve">011 2671 9179</t>
  </si>
  <si>
    <t xml:space="preserve">12/07/2026</t>
  </si>
  <si>
    <t xml:space="preserve">EMB-044</t>
  </si>
  <si>
    <t xml:space="preserve">Ghana</t>
  </si>
  <si>
    <t xml:space="preserve">Kwame Kowalski</t>
  </si>
  <si>
    <t xml:space="preserve">kwame.kowalski@ghana-embassy.example</t>
  </si>
  <si>
    <t xml:space="preserve">+91-11-2276-9817</t>
  </si>
  <si>
    <t xml:space="preserve">EMB-045</t>
  </si>
  <si>
    <t xml:space="preserve">Israel</t>
  </si>
  <si>
    <t xml:space="preserve">Grace Olsen</t>
  </si>
  <si>
    <t xml:space="preserve">grace.olsen@israel-embassy.example</t>
  </si>
  <si>
    <t xml:space="preserve">+91-11-2343-6238</t>
  </si>
  <si>
    <t xml:space="preserve">EMB-046</t>
  </si>
  <si>
    <t xml:space="preserve">Egypt</t>
  </si>
  <si>
    <t xml:space="preserve">David Tanaka</t>
  </si>
  <si>
    <t xml:space="preserve">david.tanaka@egypt-embassy.example</t>
  </si>
  <si>
    <t xml:space="preserve">+91-11-2707-4978</t>
  </si>
  <si>
    <t xml:space="preserve">On hold</t>
  </si>
  <si>
    <t xml:space="preserve">EMB-047</t>
  </si>
  <si>
    <t xml:space="preserve">Hungary</t>
  </si>
  <si>
    <t xml:space="preserve">Pedro Park</t>
  </si>
  <si>
    <t xml:space="preserve">pedro.park@hungary-embassy.example</t>
  </si>
  <si>
    <t xml:space="preserve">+91-11-2196-4116</t>
  </si>
  <si>
    <t xml:space="preserve">EMB-048</t>
  </si>
  <si>
    <t xml:space="preserve">Belgium</t>
  </si>
  <si>
    <t xml:space="preserve">Kwame Lindberg</t>
  </si>
  <si>
    <t xml:space="preserve">kwame.lindberg@belgium-embassy.example</t>
  </si>
  <si>
    <t xml:space="preserve">+91-11-2919-7543</t>
  </si>
  <si>
    <t xml:space="preserve">EMB-049</t>
  </si>
  <si>
    <t xml:space="preserve">Myanmar</t>
  </si>
  <si>
    <t xml:space="preserve">Pedro Novak</t>
  </si>
  <si>
    <t xml:space="preserve">+91-11-2523-2894</t>
  </si>
  <si>
    <t xml:space="preserve">EMB-050</t>
  </si>
  <si>
    <t xml:space="preserve">Czech Republic</t>
  </si>
  <si>
    <t xml:space="preserve">Yusuf Nkosi</t>
  </si>
  <si>
    <t xml:space="preserve">yusuf.nkosi@czechrepublic-embassy.example</t>
  </si>
  <si>
    <t xml:space="preserve">+91-11-2099-8062</t>
  </si>
  <si>
    <t xml:space="preserve">EMB-051</t>
  </si>
  <si>
    <t xml:space="preserve">Denmark</t>
  </si>
  <si>
    <t xml:space="preserve">europe</t>
  </si>
  <si>
    <t xml:space="preserve">liam.ali@denmark-embassy.example</t>
  </si>
  <si>
    <t xml:space="preserve">+91-11-2070-9727</t>
  </si>
  <si>
    <t xml:space="preserve">EMB-052</t>
  </si>
  <si>
    <t xml:space="preserve">Senegal</t>
  </si>
  <si>
    <t xml:space="preserve">Fatima Kowalski</t>
  </si>
  <si>
    <t xml:space="preserve">fatima.kowalski@senegal-embassy.example</t>
  </si>
  <si>
    <t xml:space="preserve">011 2289 2647</t>
  </si>
  <si>
    <t xml:space="preserve">EMB-053</t>
  </si>
  <si>
    <t xml:space="preserve">Tanzania</t>
  </si>
  <si>
    <t xml:space="preserve">Ingrid Olsen</t>
  </si>
  <si>
    <t xml:space="preserve">+91-11-2475-7209</t>
  </si>
  <si>
    <t xml:space="preserve">EMB-054</t>
  </si>
  <si>
    <t xml:space="preserve">New Zealand</t>
  </si>
  <si>
    <t xml:space="preserve">Omar Kowalski</t>
  </si>
  <si>
    <t xml:space="preserve">omar.kowalski@newzealand-embassy.example</t>
  </si>
  <si>
    <t xml:space="preserve">EMB-055</t>
  </si>
  <si>
    <t xml:space="preserve">Peru</t>
  </si>
  <si>
    <t xml:space="preserve">Nora Garcia</t>
  </si>
  <si>
    <t xml:space="preserve">nora.garcia.peru-embassy.example</t>
  </si>
  <si>
    <t xml:space="preserve">+91-11-2412-5460</t>
  </si>
  <si>
    <t xml:space="preserve">EMB-056</t>
  </si>
  <si>
    <t xml:space="preserve">Sri Lanka</t>
  </si>
  <si>
    <t xml:space="preserve">Lucas Novak</t>
  </si>
  <si>
    <t xml:space="preserve">lucas.novak@srilanka-embassy.example</t>
  </si>
  <si>
    <t xml:space="preserve">+91-11-2767-3532</t>
  </si>
  <si>
    <t xml:space="preserve">EMB-057</t>
  </si>
  <si>
    <t xml:space="preserve">Iraq</t>
  </si>
  <si>
    <t xml:space="preserve">Hiro Okafor</t>
  </si>
  <si>
    <t xml:space="preserve">hiro.okafor@iraq-embassy.example</t>
  </si>
  <si>
    <t xml:space="preserve">+91-11-2027-7455</t>
  </si>
  <si>
    <t xml:space="preserve">Active</t>
  </si>
  <si>
    <t xml:space="preserve">EMB-058</t>
  </si>
  <si>
    <t xml:space="preserve">Saudi Arabia</t>
  </si>
  <si>
    <t xml:space="preserve">Kwame Haddad</t>
  </si>
  <si>
    <t xml:space="preserve">kwame.haddad@saudiarabia-embassy.example</t>
  </si>
  <si>
    <t xml:space="preserve">+91-11-2086-5649</t>
  </si>
  <si>
    <t xml:space="preserve">29-Sep-2026</t>
  </si>
  <si>
    <t xml:space="preserve">EMB-059</t>
  </si>
  <si>
    <t xml:space="preserve">Singapore</t>
  </si>
  <si>
    <t xml:space="preserve">jonas.tanaka@singapore-embassy.example</t>
  </si>
  <si>
    <t xml:space="preserve">+91-11-2882-4853</t>
  </si>
  <si>
    <t xml:space="preserve">Med</t>
  </si>
  <si>
    <t xml:space="preserve">EMB-060</t>
  </si>
  <si>
    <t xml:space="preserve">Mongolia</t>
  </si>
  <si>
    <t xml:space="preserve">Layla Olsen</t>
  </si>
  <si>
    <t xml:space="preserve">layla.olsen@mongolia-embassy.example</t>
  </si>
  <si>
    <t xml:space="preserve">+91-11-2675-4164</t>
  </si>
  <si>
    <t xml:space="preserve">EMB-061</t>
  </si>
  <si>
    <t xml:space="preserve">Portugal</t>
  </si>
  <si>
    <t xml:space="preserve">Europe </t>
  </si>
  <si>
    <t xml:space="preserve">Maya Rossi</t>
  </si>
  <si>
    <t xml:space="preserve">+91-11-2331-9005</t>
  </si>
  <si>
    <t xml:space="preserve">EMB-062</t>
  </si>
  <si>
    <t xml:space="preserve">Spain</t>
  </si>
  <si>
    <t xml:space="preserve">Elena Okafor</t>
  </si>
  <si>
    <t xml:space="preserve">elena.okafor@spain-embassy.example</t>
  </si>
  <si>
    <t xml:space="preserve">+91-11-2826-1711</t>
  </si>
  <si>
    <t xml:space="preserve">EMB-063</t>
  </si>
  <si>
    <t xml:space="preserve">Thailand</t>
  </si>
  <si>
    <t xml:space="preserve">Elena Garcia</t>
  </si>
  <si>
    <t xml:space="preserve">elena.garcia@thailand-embassy.example</t>
  </si>
  <si>
    <t xml:space="preserve">+91-11-2448-9900</t>
  </si>
  <si>
    <t xml:space="preserve">EMB-064</t>
  </si>
  <si>
    <t xml:space="preserve">Mozambique</t>
  </si>
  <si>
    <t xml:space="preserve">Fatima Rahman</t>
  </si>
  <si>
    <t xml:space="preserve">fatima.rahman@mozambique-embassy.example</t>
  </si>
  <si>
    <t xml:space="preserve">+91-11-2566-9698</t>
  </si>
  <si>
    <t xml:space="preserve">EMB-065</t>
  </si>
  <si>
    <t xml:space="preserve">France</t>
  </si>
  <si>
    <t xml:space="preserve">Anna Petrov</t>
  </si>
  <si>
    <t xml:space="preserve">anna.petrov@france-embassy.example</t>
  </si>
  <si>
    <t xml:space="preserve">+91-11-2228-3286</t>
  </si>
  <si>
    <t xml:space="preserve">EMB-066</t>
  </si>
  <si>
    <t xml:space="preserve">Kenya</t>
  </si>
  <si>
    <t xml:space="preserve">Layla Nkosi</t>
  </si>
  <si>
    <t xml:space="preserve">layla.nkosi@kenya-embassy.example</t>
  </si>
  <si>
    <t xml:space="preserve">+91-11-2020-3496</t>
  </si>
  <si>
    <t xml:space="preserve">EMB-067</t>
  </si>
  <si>
    <t xml:space="preserve">Finland</t>
  </si>
  <si>
    <t xml:space="preserve">David Fernandez</t>
  </si>
  <si>
    <t xml:space="preserve">david.fernandez@finland-embassy.example</t>
  </si>
  <si>
    <t xml:space="preserve">+91-11-2747-4295</t>
  </si>
  <si>
    <t xml:space="preserve">EMB-068</t>
  </si>
  <si>
    <t xml:space="preserve">Oman</t>
  </si>
  <si>
    <t xml:space="preserve">layla.silva@oman-embassy.example</t>
  </si>
  <si>
    <t xml:space="preserve">(011) 27041090</t>
  </si>
  <si>
    <t xml:space="preserve">EMB-069</t>
  </si>
  <si>
    <t xml:space="preserve">Nepal</t>
  </si>
  <si>
    <t xml:space="preserve">Yusuf Olsen</t>
  </si>
  <si>
    <t xml:space="preserve">yusuf.olsen@nepal-embassy.example</t>
  </si>
  <si>
    <t xml:space="preserve">+91-11-2163-2771</t>
  </si>
  <si>
    <t xml:space="preserve">EMB-070</t>
  </si>
  <si>
    <t xml:space="preserve">Qatar</t>
  </si>
  <si>
    <t xml:space="preserve">David Silva</t>
  </si>
  <si>
    <t xml:space="preserve">david.silva.qatar-embassy.example</t>
  </si>
  <si>
    <t xml:space="preserve">+91-11-2047-5011</t>
  </si>
  <si>
    <t xml:space="preserve">EMB-071</t>
  </si>
  <si>
    <t xml:space="preserve">Greece</t>
  </si>
  <si>
    <t xml:space="preserve">Maya Park</t>
  </si>
  <si>
    <t xml:space="preserve">maya.park@greece-embassy.example</t>
  </si>
  <si>
    <t xml:space="preserve">011 2640 5889</t>
  </si>
  <si>
    <t xml:space="preserve">EMB-072</t>
  </si>
  <si>
    <t xml:space="preserve">Uganda</t>
  </si>
  <si>
    <t xml:space="preserve">Layla Ali</t>
  </si>
  <si>
    <t xml:space="preserve">layla.ali@uganda-embassy.example</t>
  </si>
  <si>
    <t xml:space="preserve">+91-11-2728-9041</t>
  </si>
  <si>
    <t xml:space="preserve">EMB-073</t>
  </si>
  <si>
    <t xml:space="preserve">Netherlands</t>
  </si>
  <si>
    <t xml:space="preserve">Amara Okafor</t>
  </si>
  <si>
    <t xml:space="preserve">amara.okafor@netherlands-embassy.example</t>
  </si>
  <si>
    <t xml:space="preserve">+91-11-2370-4150</t>
  </si>
  <si>
    <t xml:space="preserve">19/07/2026</t>
  </si>
  <si>
    <t xml:space="preserve">EMB-074</t>
  </si>
  <si>
    <t xml:space="preserve">Ingrid Fernandez</t>
  </si>
  <si>
    <t xml:space="preserve">ingrid.fernandez@chile-embassy.example</t>
  </si>
  <si>
    <t xml:space="preserve">(011) 28463330</t>
  </si>
  <si>
    <t xml:space="preserve">Possible duplicate entry</t>
  </si>
  <si>
    <t xml:space="preserve">EMB-075</t>
  </si>
  <si>
    <t xml:space="preserve">Elena Chen</t>
  </si>
  <si>
    <t xml:space="preserve">elena.chen@romania-embassy.example</t>
  </si>
  <si>
    <t xml:space="preserve">EMB-076</t>
  </si>
  <si>
    <t xml:space="preserve">Lucas Dubois</t>
  </si>
  <si>
    <t xml:space="preserve">lucas.dubois@ireland-embassy.example</t>
  </si>
  <si>
    <t xml:space="preserve">(011) 25674770</t>
  </si>
  <si>
    <t xml:space="preserve">EMB-077</t>
  </si>
  <si>
    <t xml:space="preserve">Pedro Nkosi</t>
  </si>
  <si>
    <t xml:space="preserve">pedro.nkosi@thailand-embassy.example</t>
  </si>
  <si>
    <t xml:space="preserve">EMB-078</t>
  </si>
  <si>
    <t xml:space="preserve">Layla Lindberg</t>
  </si>
  <si>
    <t xml:space="preserve">layla.lindberg@turkey-embassy.example</t>
  </si>
  <si>
    <t xml:space="preserve">25-Sep-2026</t>
  </si>
  <si>
    <t xml:space="preserve">HIGH</t>
  </si>
  <si>
    <t xml:space="preserve">Raw Region (trimmed)</t>
  </si>
  <si>
    <t xml:space="preserve">Standard Region</t>
  </si>
  <si>
    <t xml:space="preserve">Raw Status (trimmed)</t>
  </si>
  <si>
    <t xml:space="preserve">Standard Status</t>
  </si>
  <si>
    <t xml:space="preserve">Raw Engagement (trimmed)</t>
  </si>
  <si>
    <t xml:space="preserve">Standard Engagement</t>
  </si>
  <si>
    <t xml:space="preserve">Setting</t>
  </si>
  <si>
    <t xml:space="preserve">Value</t>
  </si>
  <si>
    <t xml:space="preserve">As-of date (report date)</t>
  </si>
  <si>
    <t xml:space="preserve">Stale-contact threshold (days)</t>
  </si>
  <si>
    <t xml:space="preserve">Edit blue cells to change settings. Mapping tables (A:H) standardise inconsistent labels found in Outreach_Data; add new variants at the bottom.</t>
  </si>
  <si>
    <t xml:space="preserve">Asia Pacific</t>
  </si>
  <si>
    <t xml:space="preserve">Nil</t>
  </si>
  <si>
    <t xml:space="preserve">APAC</t>
  </si>
  <si>
    <t xml:space="preserve">In-Discussion</t>
  </si>
  <si>
    <t xml:space="preserve">Middle-East</t>
  </si>
  <si>
    <t xml:space="preserve">no-response</t>
  </si>
  <si>
    <t xml:space="preserve">America</t>
  </si>
  <si>
    <t xml:space="preserve">Meeting Sched.</t>
  </si>
  <si>
    <t xml:space="preserve">Hold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</si>
</sst>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General"/>
    <numFmt numFmtId="168" formatCode="dd\-mmm\-yyyy"/>
    <numFmt numFmtId="169" formatCode="0.00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548235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22"/>
      <color rgb="FFBF8F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FF6600"/>
      </patternFill>
    </fill>
    <fill>
      <patternFill patternType="solid">
        <fgColor rgb="FFF7F9FC"/>
        <bgColor rgb="FFFFFFFF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F7F9FC"/>
      </patternFill>
    </fill>
    <fill>
      <patternFill patternType="solid">
        <fgColor rgb="FF7F7F7F"/>
        <bgColor rgb="FF878787"/>
      </patternFill>
    </fill>
    <fill>
      <patternFill patternType="solid">
        <fgColor rgb="FFFFFF99"/>
        <bgColor rgb="FFFFE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6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color rgb="FF548235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A6A6A6"/>
      <rgbColor rgb="FF993366"/>
      <rgbColor rgb="FFF7F9FC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D9D9"/>
      <rgbColor rgb="FFF4B183"/>
      <rgbColor rgb="FFFCE4D6"/>
      <rgbColor rgb="FFF8CBAD"/>
      <rgbColor rgb="FF2E75B6"/>
      <rgbColor rgb="FF33CCCC"/>
      <rgbColor rgb="FF99CC00"/>
      <rgbColor rgb="FFFFD966"/>
      <rgbColor rgb="FFBF8F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Records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Dashboard!$A$10:$A$17</c:f>
              <c:strCache>
                <c:ptCount val="8"/>
                <c:pt idx="0">
                  <c:v>Not Started</c:v>
                </c:pt>
                <c:pt idx="1">
                  <c:v>Contacted</c:v>
                </c:pt>
                <c:pt idx="2">
                  <c:v>No Response</c:v>
                </c:pt>
                <c:pt idx="3">
                  <c:v>In Discussion</c:v>
                </c:pt>
                <c:pt idx="4">
                  <c:v>Meeting Scheduled</c:v>
                </c:pt>
                <c:pt idx="5">
                  <c:v>Partnership Active</c:v>
                </c:pt>
                <c:pt idx="6">
                  <c:v>On Hold</c:v>
                </c:pt>
                <c:pt idx="7">
                  <c:v>Not Recorded</c:v>
                </c:pt>
              </c:strCache>
            </c:strRef>
          </c:cat>
          <c:val>
            <c:numRef>
              <c:f>Dashboard!$B$10:$B$17</c:f>
              <c:numCache>
                <c:formatCode>General</c:formatCode>
                <c:ptCount val="8"/>
                <c:pt idx="0">
                  <c:v>10</c:v>
                </c:pt>
                <c:pt idx="1">
                  <c:v>19</c:v>
                </c:pt>
                <c:pt idx="2">
                  <c:v>12</c:v>
                </c:pt>
                <c:pt idx="3">
                  <c:v>14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</c:ser>
        <c:gapWidth val="60"/>
        <c:overlap val="0"/>
        <c:axId val="65979214"/>
        <c:axId val="59018274"/>
      </c:barChart>
      <c:catAx>
        <c:axId val="659792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18274"/>
        <c:crosses val="autoZero"/>
        <c:auto val="1"/>
        <c:lblAlgn val="ctr"/>
        <c:lblOffset val="100"/>
        <c:noMultiLvlLbl val="0"/>
      </c:catAx>
      <c:valAx>
        <c:axId val="590182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792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Funnel: Records → Contacted → Engaged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Dashboard!F9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bdd7ee"/>
            </a:solidFill>
            <a:ln w="9360">
              <a:solidFill>
                <a:srgbClr val="bdd7e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Dashboard!$E$10:$E$14</c:f>
              <c:strCache>
                <c:ptCount val="5"/>
                <c:pt idx="0">
                  <c:v>Europe</c:v>
                </c:pt>
                <c:pt idx="1">
                  <c:v>Asia-Pacific</c:v>
                </c:pt>
                <c:pt idx="2">
                  <c:v>Middle East</c:v>
                </c:pt>
                <c:pt idx="3">
                  <c:v>Africa</c:v>
                </c:pt>
                <c:pt idx="4">
                  <c:v>Americas</c:v>
                </c:pt>
              </c:strCache>
            </c:strRef>
          </c:cat>
          <c:val>
            <c:numRef>
              <c:f>Dashboard!$F$10:$F$14</c:f>
              <c:numCache>
                <c:formatCode>General</c:formatCode>
                <c:ptCount val="5"/>
                <c:pt idx="0">
                  <c:v>21</c:v>
                </c:pt>
                <c:pt idx="1">
                  <c:v>18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Dashboard!G9</c:f>
              <c:strCache>
                <c:ptCount val="1"/>
                <c:pt idx="0">
                  <c:v>Contacted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Dashboard!$E$10:$E$14</c:f>
              <c:strCache>
                <c:ptCount val="5"/>
                <c:pt idx="0">
                  <c:v>Europe</c:v>
                </c:pt>
                <c:pt idx="1">
                  <c:v>Asia-Pacific</c:v>
                </c:pt>
                <c:pt idx="2">
                  <c:v>Middle East</c:v>
                </c:pt>
                <c:pt idx="3">
                  <c:v>Africa</c:v>
                </c:pt>
                <c:pt idx="4">
                  <c:v>Americas</c:v>
                </c:pt>
              </c:strCache>
            </c:strRef>
          </c:cat>
          <c:val>
            <c:numRef>
              <c:f>Dashboard!$G$10:$G$14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12</c:v>
                </c:pt>
                <c:pt idx="3">
                  <c:v>12</c:v>
                </c:pt>
                <c:pt idx="4">
                  <c:v>4</c:v>
                </c:pt>
              </c:numCache>
            </c:numRef>
          </c:val>
        </c:ser>
        <c:ser>
          <c:idx val="2"/>
          <c:order val="2"/>
          <c:tx>
            <c:strRef>
              <c:f>Dashboard!H9</c:f>
              <c:strCache>
                <c:ptCount val="1"/>
                <c:pt idx="0">
                  <c:v>Engaged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Dashboard!$E$10:$E$14</c:f>
              <c:strCache>
                <c:ptCount val="5"/>
                <c:pt idx="0">
                  <c:v>Europe</c:v>
                </c:pt>
                <c:pt idx="1">
                  <c:v>Asia-Pacific</c:v>
                </c:pt>
                <c:pt idx="2">
                  <c:v>Middle East</c:v>
                </c:pt>
                <c:pt idx="3">
                  <c:v>Africa</c:v>
                </c:pt>
                <c:pt idx="4">
                  <c:v>Americas</c:v>
                </c:pt>
              </c:strCache>
            </c:strRef>
          </c:cat>
          <c:val>
            <c:numRef>
              <c:f>Dashboard!$H$10:$H$14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gapWidth val="80"/>
        <c:overlap val="0"/>
        <c:axId val="66415212"/>
        <c:axId val="55614897"/>
      </c:barChart>
      <c:catAx>
        <c:axId val="66415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14897"/>
        <c:crosses val="autoZero"/>
        <c:auto val="1"/>
        <c:lblAlgn val="ctr"/>
        <c:lblOffset val="100"/>
        <c:noMultiLvlLbl val="0"/>
      </c:catAx>
      <c:valAx>
        <c:axId val="556148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152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Dashboard!N9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4b18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Dashboard!$M$10:$M$14</c:f>
              <c:strCache>
                <c:ptCount val="5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None</c:v>
                </c:pt>
                <c:pt idx="4">
                  <c:v>Not Recorded</c:v>
                </c:pt>
              </c:strCache>
            </c:strRef>
          </c:cat>
          <c:val>
            <c:numRef>
              <c:f>Dashboard!$N$10:$N$14</c:f>
              <c:numCache>
                <c:formatCode>General</c:formatCode>
                <c:ptCount val="5"/>
                <c:pt idx="0">
                  <c:v>12</c:v>
                </c:pt>
                <c:pt idx="1">
                  <c:v>26</c:v>
                </c:pt>
                <c:pt idx="2">
                  <c:v>19</c:v>
                </c:pt>
                <c:pt idx="3">
                  <c:v>16</c:v>
                </c:pt>
                <c:pt idx="4">
                  <c:v>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Embassies by Month of Last Contact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Dashboard!B37</c:f>
              <c:strCache>
                <c:ptCount val="1"/>
                <c:pt idx="0">
                  <c:v>Embassies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Dashboard!$A$38:$A$47</c:f>
              <c:strCache>
                <c:ptCount val="10"/>
                <c:pt idx="0">
                  <c:v>Jan 26</c:v>
                </c:pt>
                <c:pt idx="1">
                  <c:v>Feb 26</c:v>
                </c:pt>
                <c:pt idx="2">
                  <c:v>Mar 26</c:v>
                </c:pt>
                <c:pt idx="3">
                  <c:v>Apr 26</c:v>
                </c:pt>
                <c:pt idx="4">
                  <c:v>May 26</c:v>
                </c:pt>
                <c:pt idx="5">
                  <c:v>Jun 26</c:v>
                </c:pt>
                <c:pt idx="6">
                  <c:v>Jul 26</c:v>
                </c:pt>
                <c:pt idx="7">
                  <c:v>Aug 26</c:v>
                </c:pt>
                <c:pt idx="8">
                  <c:v>Sep 26</c:v>
                </c:pt>
                <c:pt idx="9">
                  <c:v>Oct 26</c:v>
                </c:pt>
              </c:strCache>
            </c:strRef>
          </c:cat>
          <c:val>
            <c:numRef>
              <c:f>Dashboard!$B$38:$B$47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  <c:pt idx="7">
                  <c:v>18</c:v>
                </c:pt>
                <c:pt idx="8">
                  <c:v>26</c:v>
                </c:pt>
                <c:pt idx="9">
                  <c:v>4</c:v>
                </c:pt>
              </c:numCache>
            </c:numRef>
          </c:val>
        </c:ser>
        <c:gapWidth val="50"/>
        <c:overlap val="0"/>
        <c:axId val="74059588"/>
        <c:axId val="54504506"/>
      </c:barChart>
      <c:catAx>
        <c:axId val="740595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04506"/>
        <c:crosses val="autoZero"/>
        <c:auto val="1"/>
        <c:lblAlgn val="ctr"/>
        <c:lblOffset val="100"/>
        <c:noMultiLvlLbl val="0"/>
      </c:catAx>
      <c:valAx>
        <c:axId val="545045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595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3</xdr:col>
      <xdr:colOff>718200</xdr:colOff>
      <xdr:row>33</xdr:row>
      <xdr:rowOff>32760</xdr:rowOff>
    </xdr:to>
    <xdr:graphicFrame>
      <xdr:nvGraphicFramePr>
        <xdr:cNvPr id="0" name="Chart 1"/>
        <xdr:cNvGraphicFramePr/>
      </xdr:nvGraphicFramePr>
      <xdr:xfrm>
        <a:off x="0" y="4505400"/>
        <a:ext cx="4031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10</xdr:col>
      <xdr:colOff>615240</xdr:colOff>
      <xdr:row>33</xdr:row>
      <xdr:rowOff>32760</xdr:rowOff>
    </xdr:to>
    <xdr:graphicFrame>
      <xdr:nvGraphicFramePr>
        <xdr:cNvPr id="1" name="Chart 2"/>
        <xdr:cNvGraphicFramePr/>
      </xdr:nvGraphicFramePr>
      <xdr:xfrm>
        <a:off x="4194720" y="4505400"/>
        <a:ext cx="5903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13</xdr:col>
      <xdr:colOff>756720</xdr:colOff>
      <xdr:row>33</xdr:row>
      <xdr:rowOff>32760</xdr:rowOff>
    </xdr:to>
    <xdr:graphicFrame>
      <xdr:nvGraphicFramePr>
        <xdr:cNvPr id="2" name="Chart 3"/>
        <xdr:cNvGraphicFramePr/>
      </xdr:nvGraphicFramePr>
      <xdr:xfrm>
        <a:off x="10364400" y="4505400"/>
        <a:ext cx="25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35</xdr:row>
      <xdr:rowOff>0</xdr:rowOff>
    </xdr:from>
    <xdr:to>
      <xdr:col>9</xdr:col>
      <xdr:colOff>831240</xdr:colOff>
      <xdr:row>47</xdr:row>
      <xdr:rowOff>89640</xdr:rowOff>
    </xdr:to>
    <xdr:graphicFrame>
      <xdr:nvGraphicFramePr>
        <xdr:cNvPr id="3" name="Chart 4"/>
        <xdr:cNvGraphicFramePr/>
      </xdr:nvGraphicFramePr>
      <xdr:xfrm>
        <a:off x="3313440" y="7553160"/>
        <a:ext cx="61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zaif-ux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2.5"/>
    <col collapsed="false" customWidth="true" hidden="true" outlineLevel="0" max="16" min="16" style="0" width="1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tr">
        <f aca="false">"As of "&amp;TEXT(Lists!K2,"dd mmm yyyy")&amp;"  |  Source: Embassy Outreach Database ("&amp;COUNTA(Outreach_Data!A2:A79)&amp;" records)  |  NOTE: illustrative sample data — the real database was not supplied with the assessment"</f>
        <v>As of 06 Oct 2026  |  Source: Embassy Outreach Database (78 records)  |  NOTE: illustrative sample data — the real database was not supplied with the assessment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3" t="s">
        <v>1</v>
      </c>
      <c r="B4" s="3"/>
      <c r="C4" s="3" t="s">
        <v>2</v>
      </c>
      <c r="D4" s="3"/>
      <c r="E4" s="4" t="s">
        <v>3</v>
      </c>
      <c r="F4" s="4"/>
      <c r="G4" s="4" t="s">
        <v>4</v>
      </c>
      <c r="H4" s="4"/>
      <c r="I4" s="5" t="s">
        <v>5</v>
      </c>
      <c r="J4" s="5"/>
      <c r="K4" s="6" t="s">
        <v>6</v>
      </c>
      <c r="L4" s="6"/>
      <c r="M4" s="5" t="s">
        <v>7</v>
      </c>
      <c r="N4" s="5"/>
    </row>
    <row r="5" customFormat="false" ht="37.5" hidden="false" customHeight="true" outlineLevel="0" collapsed="false">
      <c r="A5" s="7" t="n">
        <f aca="false">SUMPRODUCT(1/COUNTIF(Outreach_Data!$B$2:$B$79,Outreach_Data!$B$2:$B$79))</f>
        <v>73</v>
      </c>
      <c r="B5" s="7"/>
      <c r="C5" s="8" t="n">
        <f aca="false">SUM(Outreach_Data!$AB$2:$AB$79)/COUNTA(Outreach_Data!$A$2:$A$79)</f>
        <v>0.833333333333333</v>
      </c>
      <c r="D5" s="8"/>
      <c r="E5" s="9" t="n">
        <f aca="false">IF(SUM(Outreach_Data!$AB$2:$AB$79)=0,0,SUM(Outreach_Data!$AA$2:$AA$79)/SUM(Outreach_Data!$AB$2:$AB$79))</f>
        <v>0.461538461538462</v>
      </c>
      <c r="F5" s="9"/>
      <c r="G5" s="10" t="n">
        <f aca="false">COUNTIF(Outreach_Data!$S$2:$S$79,"Partnership Active")</f>
        <v>7</v>
      </c>
      <c r="H5" s="10"/>
      <c r="I5" s="11" t="n">
        <f aca="false">SUM(Outreach_Data!$V$2:$V$79)</f>
        <v>31</v>
      </c>
      <c r="J5" s="11"/>
      <c r="K5" s="12" t="n">
        <f aca="false">SUM(Outreach_Data!$X$2:$X$79)</f>
        <v>30</v>
      </c>
      <c r="L5" s="12"/>
      <c r="M5" s="11" t="n">
        <f aca="false">COUNTIF(Outreach_Data!$Y$2:$Y$79,"&gt;0")</f>
        <v>49</v>
      </c>
      <c r="N5" s="11"/>
    </row>
    <row r="6" customFormat="false" ht="25.5" hidden="false" customHeight="true" outlineLevel="0" collapsed="false">
      <c r="A6" s="13" t="str">
        <f aca="false">COUNTA(Outreach_Data!$A$2:$A$79)&amp;" records incl. duplicates"</f>
        <v>78 records incl. duplicates</v>
      </c>
      <c r="B6" s="13"/>
      <c r="C6" s="13" t="str">
        <f aca="false">SUM(Outreach_Data!$AB$2:$AB$79)&amp;" of "&amp;COUNTA(Outreach_Data!$A$2:$A$79)&amp;" records contacted"</f>
        <v>65 of 78 records contacted</v>
      </c>
      <c r="D6" s="13"/>
      <c r="E6" s="13" t="str">
        <f aca="false">SUM(Outreach_Data!$AA$2:$AA$79)&amp;" of "&amp;SUM(Outreach_Data!$AB$2:$AB$79)&amp;" contacted are engaged"</f>
        <v>30 of 65 contacted are engaged</v>
      </c>
      <c r="F6" s="13"/>
      <c r="G6" s="13" t="str">
        <f aca="false">"status: Partnership Active"</f>
        <v>status: Partnership Active</v>
      </c>
      <c r="H6" s="13"/>
      <c r="I6" s="13" t="str">
        <f aca="false">IF(SUM(Outreach_Data!$V$2:$V$79)=0,"none overdue","avg "&amp;ROUND(AVERAGEIF(Outreach_Data!$V$2:$V$79,1,Outreach_Data!$W$2:$W$79),0)&amp;" days late")</f>
        <v>avg 30 days late</v>
      </c>
      <c r="J6" s="13"/>
      <c r="K6" s="13" t="str">
        <f aca="false">"no touchpoint in "&amp;Lists!$K$3&amp;"+ days"</f>
        <v>no touchpoint in 30+ days</v>
      </c>
      <c r="L6" s="13"/>
      <c r="M6" s="13" t="str">
        <f aca="false">TEXT(COUNTIF(Outreach_Data!$Y$2:$Y$79,"&gt;0")/COUNTA(Outreach_Data!$A$2:$A$79),"0%")&amp;" of records — see DQ sheet"</f>
        <v>63% of records — see DQ sheet</v>
      </c>
      <c r="N6" s="13"/>
    </row>
    <row r="8" customFormat="false" ht="15" hidden="false" customHeight="false" outlineLevel="0" collapsed="false">
      <c r="A8" s="14" t="s">
        <v>8</v>
      </c>
      <c r="B8" s="14"/>
      <c r="C8" s="14"/>
      <c r="E8" s="14" t="s">
        <v>9</v>
      </c>
      <c r="F8" s="14"/>
      <c r="G8" s="14"/>
      <c r="H8" s="14"/>
      <c r="I8" s="14"/>
      <c r="J8" s="14"/>
      <c r="K8" s="14"/>
      <c r="M8" s="14" t="s">
        <v>10</v>
      </c>
      <c r="N8" s="14"/>
    </row>
    <row r="9" customFormat="false" ht="30" hidden="false" customHeight="true" outlineLevel="0" collapsed="false">
      <c r="A9" s="15" t="s">
        <v>11</v>
      </c>
      <c r="B9" s="15" t="s">
        <v>12</v>
      </c>
      <c r="C9" s="15" t="s">
        <v>13</v>
      </c>
      <c r="E9" s="15" t="s">
        <v>14</v>
      </c>
      <c r="F9" s="15" t="s">
        <v>12</v>
      </c>
      <c r="G9" s="15" t="s">
        <v>15</v>
      </c>
      <c r="H9" s="15" t="s">
        <v>16</v>
      </c>
      <c r="I9" s="15" t="s">
        <v>17</v>
      </c>
      <c r="J9" s="15" t="s">
        <v>18</v>
      </c>
      <c r="K9" s="15" t="s">
        <v>19</v>
      </c>
      <c r="M9" s="15" t="s">
        <v>20</v>
      </c>
      <c r="N9" s="15" t="s">
        <v>12</v>
      </c>
    </row>
    <row r="10" customFormat="false" ht="15" hidden="false" customHeight="false" outlineLevel="0" collapsed="false">
      <c r="A10" s="16" t="s">
        <v>21</v>
      </c>
      <c r="B10" s="17" t="n">
        <f aca="false">COUNTIF(Outreach_Data!$S$2:$S$79,A10)</f>
        <v>10</v>
      </c>
      <c r="C10" s="18" t="n">
        <f aca="false">B10/$B$18</f>
        <v>0.128205128205128</v>
      </c>
      <c r="E10" s="16" t="s">
        <v>22</v>
      </c>
      <c r="F10" s="17" t="n">
        <f aca="false">COUNTIF(Outreach_Data!$R$2:$R$79,E10)</f>
        <v>21</v>
      </c>
      <c r="G10" s="17" t="n">
        <f aca="false">SUMIFS(Outreach_Data!$AB$2:$AB$79,Outreach_Data!$R$2:$R$79,E10)</f>
        <v>19</v>
      </c>
      <c r="H10" s="17" t="n">
        <f aca="false">SUMIFS(Outreach_Data!$AA$2:$AA$79,Outreach_Data!$R$2:$R$79,E10)</f>
        <v>7</v>
      </c>
      <c r="I10" s="17" t="n">
        <f aca="false">COUNTIFS(Outreach_Data!$R$2:$R$79,E10,Outreach_Data!$S$2:$S$79,"Partnership Active")</f>
        <v>1</v>
      </c>
      <c r="J10" s="18" t="n">
        <f aca="false">IF(G10=0,0,H10/G10)</f>
        <v>0.368421052631579</v>
      </c>
      <c r="K10" s="17" t="n">
        <f aca="false">SUMIFS(Outreach_Data!$V$2:$V$79,Outreach_Data!$R$2:$R$79,E10)</f>
        <v>8</v>
      </c>
      <c r="M10" s="16" t="s">
        <v>23</v>
      </c>
      <c r="N10" s="17" t="n">
        <f aca="false">COUNTIF(Outreach_Data!$T$2:$T$79,M10)</f>
        <v>12</v>
      </c>
    </row>
    <row r="11" customFormat="false" ht="15" hidden="false" customHeight="false" outlineLevel="0" collapsed="false">
      <c r="A11" s="16" t="s">
        <v>15</v>
      </c>
      <c r="B11" s="17" t="n">
        <f aca="false">COUNTIF(Outreach_Data!$S$2:$S$79,A11)</f>
        <v>19</v>
      </c>
      <c r="C11" s="18" t="n">
        <f aca="false">B11/$B$18</f>
        <v>0.243589743589744</v>
      </c>
      <c r="E11" s="16" t="s">
        <v>24</v>
      </c>
      <c r="F11" s="17" t="n">
        <f aca="false">COUNTIF(Outreach_Data!$R$2:$R$79,E11)</f>
        <v>18</v>
      </c>
      <c r="G11" s="17" t="n">
        <f aca="false">SUMIFS(Outreach_Data!$AB$2:$AB$79,Outreach_Data!$R$2:$R$79,E11)</f>
        <v>17</v>
      </c>
      <c r="H11" s="17" t="n">
        <f aca="false">SUMIFS(Outreach_Data!$AA$2:$AA$79,Outreach_Data!$R$2:$R$79,E11)</f>
        <v>9</v>
      </c>
      <c r="I11" s="17" t="n">
        <f aca="false">COUNTIFS(Outreach_Data!$R$2:$R$79,E11,Outreach_Data!$S$2:$S$79,"Partnership Active")</f>
        <v>3</v>
      </c>
      <c r="J11" s="18" t="n">
        <f aca="false">IF(G11=0,0,H11/G11)</f>
        <v>0.529411764705882</v>
      </c>
      <c r="K11" s="17" t="n">
        <f aca="false">SUMIFS(Outreach_Data!$V$2:$V$79,Outreach_Data!$R$2:$R$79,E11)</f>
        <v>8</v>
      </c>
      <c r="M11" s="16" t="s">
        <v>25</v>
      </c>
      <c r="N11" s="17" t="n">
        <f aca="false">COUNTIF(Outreach_Data!$T$2:$T$79,M11)</f>
        <v>26</v>
      </c>
    </row>
    <row r="12" customFormat="false" ht="15" hidden="false" customHeight="false" outlineLevel="0" collapsed="false">
      <c r="A12" s="16" t="s">
        <v>26</v>
      </c>
      <c r="B12" s="17" t="n">
        <f aca="false">COUNTIF(Outreach_Data!$S$2:$S$79,A12)</f>
        <v>12</v>
      </c>
      <c r="C12" s="18" t="n">
        <f aca="false">B12/$B$18</f>
        <v>0.153846153846154</v>
      </c>
      <c r="E12" s="16" t="s">
        <v>27</v>
      </c>
      <c r="F12" s="17" t="n">
        <f aca="false">COUNTIF(Outreach_Data!$R$2:$R$79,E12)</f>
        <v>13</v>
      </c>
      <c r="G12" s="17" t="n">
        <f aca="false">SUMIFS(Outreach_Data!$AB$2:$AB$79,Outreach_Data!$R$2:$R$79,E12)</f>
        <v>12</v>
      </c>
      <c r="H12" s="17" t="n">
        <f aca="false">SUMIFS(Outreach_Data!$AA$2:$AA$79,Outreach_Data!$R$2:$R$79,E12)</f>
        <v>9</v>
      </c>
      <c r="I12" s="17" t="n">
        <f aca="false">COUNTIFS(Outreach_Data!$R$2:$R$79,E12,Outreach_Data!$S$2:$S$79,"Partnership Active")</f>
        <v>3</v>
      </c>
      <c r="J12" s="18" t="n">
        <f aca="false">IF(G12=0,0,H12/G12)</f>
        <v>0.75</v>
      </c>
      <c r="K12" s="17" t="n">
        <f aca="false">SUMIFS(Outreach_Data!$V$2:$V$79,Outreach_Data!$R$2:$R$79,E12)</f>
        <v>5</v>
      </c>
      <c r="M12" s="16" t="s">
        <v>28</v>
      </c>
      <c r="N12" s="17" t="n">
        <f aca="false">COUNTIF(Outreach_Data!$T$2:$T$79,M12)</f>
        <v>19</v>
      </c>
    </row>
    <row r="13" customFormat="false" ht="15" hidden="false" customHeight="false" outlineLevel="0" collapsed="false">
      <c r="A13" s="16" t="s">
        <v>29</v>
      </c>
      <c r="B13" s="17" t="n">
        <f aca="false">COUNTIF(Outreach_Data!$S$2:$S$79,A13)</f>
        <v>14</v>
      </c>
      <c r="C13" s="18" t="n">
        <f aca="false">B13/$B$18</f>
        <v>0.17948717948718</v>
      </c>
      <c r="E13" s="16" t="s">
        <v>30</v>
      </c>
      <c r="F13" s="17" t="n">
        <f aca="false">COUNTIF(Outreach_Data!$R$2:$R$79,E13)</f>
        <v>13</v>
      </c>
      <c r="G13" s="17" t="n">
        <f aca="false">SUMIFS(Outreach_Data!$AB$2:$AB$79,Outreach_Data!$R$2:$R$79,E13)</f>
        <v>12</v>
      </c>
      <c r="H13" s="17" t="n">
        <f aca="false">SUMIFS(Outreach_Data!$AA$2:$AA$79,Outreach_Data!$R$2:$R$79,E13)</f>
        <v>4</v>
      </c>
      <c r="I13" s="17" t="n">
        <f aca="false">COUNTIFS(Outreach_Data!$R$2:$R$79,E13,Outreach_Data!$S$2:$S$79,"Partnership Active")</f>
        <v>0</v>
      </c>
      <c r="J13" s="18" t="n">
        <f aca="false">IF(G13=0,0,H13/G13)</f>
        <v>0.333333333333333</v>
      </c>
      <c r="K13" s="17" t="n">
        <f aca="false">SUMIFS(Outreach_Data!$V$2:$V$79,Outreach_Data!$R$2:$R$79,E13)</f>
        <v>6</v>
      </c>
      <c r="M13" s="16" t="s">
        <v>31</v>
      </c>
      <c r="N13" s="17" t="n">
        <f aca="false">COUNTIF(Outreach_Data!$T$2:$T$79,M13)</f>
        <v>16</v>
      </c>
    </row>
    <row r="14" customFormat="false" ht="15" hidden="false" customHeight="false" outlineLevel="0" collapsed="false">
      <c r="A14" s="16" t="s">
        <v>32</v>
      </c>
      <c r="B14" s="17" t="n">
        <f aca="false">COUNTIF(Outreach_Data!$S$2:$S$79,A14)</f>
        <v>9</v>
      </c>
      <c r="C14" s="18" t="n">
        <f aca="false">B14/$B$18</f>
        <v>0.115384615384615</v>
      </c>
      <c r="E14" s="16" t="s">
        <v>33</v>
      </c>
      <c r="F14" s="17" t="n">
        <f aca="false">COUNTIF(Outreach_Data!$R$2:$R$79,E14)</f>
        <v>10</v>
      </c>
      <c r="G14" s="17" t="n">
        <f aca="false">SUMIFS(Outreach_Data!$AB$2:$AB$79,Outreach_Data!$R$2:$R$79,E14)</f>
        <v>4</v>
      </c>
      <c r="H14" s="17" t="n">
        <f aca="false">SUMIFS(Outreach_Data!$AA$2:$AA$79,Outreach_Data!$R$2:$R$79,E14)</f>
        <v>0</v>
      </c>
      <c r="I14" s="17" t="n">
        <f aca="false">COUNTIFS(Outreach_Data!$R$2:$R$79,E14,Outreach_Data!$S$2:$S$79,"Partnership Active")</f>
        <v>0</v>
      </c>
      <c r="J14" s="18" t="n">
        <f aca="false">IF(G14=0,0,H14/G14)</f>
        <v>0</v>
      </c>
      <c r="K14" s="17" t="n">
        <f aca="false">SUMIFS(Outreach_Data!$V$2:$V$79,Outreach_Data!$R$2:$R$79,E14)</f>
        <v>4</v>
      </c>
      <c r="M14" s="19" t="s">
        <v>34</v>
      </c>
      <c r="N14" s="17" t="n">
        <f aca="false">COUNTIF(Outreach_Data!$T$2:$T$79,M14)</f>
        <v>5</v>
      </c>
    </row>
    <row r="15" customFormat="false" ht="15" hidden="false" customHeight="false" outlineLevel="0" collapsed="false">
      <c r="A15" s="16" t="s">
        <v>35</v>
      </c>
      <c r="B15" s="17" t="n">
        <f aca="false">COUNTIF(Outreach_Data!$S$2:$S$79,A15)</f>
        <v>7</v>
      </c>
      <c r="C15" s="18" t="n">
        <f aca="false">B15/$B$18</f>
        <v>0.0897435897435897</v>
      </c>
      <c r="E15" s="19" t="s">
        <v>34</v>
      </c>
      <c r="F15" s="17" t="n">
        <f aca="false">COUNTIF(Outreach_Data!$R$2:$R$79,E15)</f>
        <v>3</v>
      </c>
      <c r="G15" s="17" t="n">
        <f aca="false">SUMIFS(Outreach_Data!$AB$2:$AB$79,Outreach_Data!$R$2:$R$79,E15)</f>
        <v>1</v>
      </c>
      <c r="H15" s="17" t="n">
        <f aca="false">SUMIFS(Outreach_Data!$AA$2:$AA$79,Outreach_Data!$R$2:$R$79,E15)</f>
        <v>1</v>
      </c>
      <c r="I15" s="17" t="n">
        <f aca="false">COUNTIFS(Outreach_Data!$R$2:$R$79,E15,Outreach_Data!$S$2:$S$79,"Partnership Active")</f>
        <v>0</v>
      </c>
      <c r="J15" s="18" t="n">
        <f aca="false">IF(G15=0,0,H15/G15)</f>
        <v>1</v>
      </c>
      <c r="K15" s="17" t="n">
        <f aca="false">SUMIFS(Outreach_Data!$V$2:$V$79,Outreach_Data!$R$2:$R$79,E15)</f>
        <v>0</v>
      </c>
      <c r="M15" s="20" t="s">
        <v>36</v>
      </c>
      <c r="N15" s="21" t="n">
        <f aca="false">SUM(N10:N14)</f>
        <v>78</v>
      </c>
    </row>
    <row r="16" customFormat="false" ht="15" hidden="false" customHeight="false" outlineLevel="0" collapsed="false">
      <c r="A16" s="16" t="s">
        <v>37</v>
      </c>
      <c r="B16" s="17" t="n">
        <f aca="false">COUNTIF(Outreach_Data!$S$2:$S$79,A16)</f>
        <v>4</v>
      </c>
      <c r="C16" s="18" t="n">
        <f aca="false">B16/$B$18</f>
        <v>0.0512820512820513</v>
      </c>
      <c r="E16" s="20" t="s">
        <v>36</v>
      </c>
      <c r="F16" s="21" t="n">
        <f aca="false">SUM(F10:F15)</f>
        <v>78</v>
      </c>
      <c r="G16" s="21" t="n">
        <f aca="false">SUM(G10:G15)</f>
        <v>65</v>
      </c>
      <c r="H16" s="21" t="n">
        <f aca="false">SUM(H10:H15)</f>
        <v>30</v>
      </c>
      <c r="I16" s="21" t="n">
        <f aca="false">SUM(I10:I15)</f>
        <v>7</v>
      </c>
      <c r="J16" s="22" t="n">
        <f aca="false">IF(G16=0,0,H16/G16)</f>
        <v>0.461538461538462</v>
      </c>
      <c r="K16" s="21" t="n">
        <f aca="false">SUM(K10:K15)</f>
        <v>31</v>
      </c>
    </row>
    <row r="17" customFormat="false" ht="15" hidden="false" customHeight="false" outlineLevel="0" collapsed="false">
      <c r="A17" s="19" t="s">
        <v>34</v>
      </c>
      <c r="B17" s="17" t="n">
        <f aca="false">COUNTIF(Outreach_Data!$S$2:$S$79,A17)</f>
        <v>3</v>
      </c>
      <c r="C17" s="18" t="n">
        <f aca="false">B17/$B$18</f>
        <v>0.0384615384615385</v>
      </c>
    </row>
    <row r="18" customFormat="false" ht="15" hidden="false" customHeight="false" outlineLevel="0" collapsed="false">
      <c r="A18" s="20" t="s">
        <v>36</v>
      </c>
      <c r="B18" s="21" t="n">
        <f aca="false">SUM(B10:B17)</f>
        <v>78</v>
      </c>
      <c r="C18" s="22" t="n">
        <f aca="false">SUM(C10:C17)</f>
        <v>1</v>
      </c>
    </row>
    <row r="36" customFormat="false" ht="15" hidden="false" customHeight="false" outlineLevel="0" collapsed="false">
      <c r="A36" s="14" t="s">
        <v>38</v>
      </c>
      <c r="B36" s="14"/>
      <c r="K36" s="14" t="s">
        <v>39</v>
      </c>
      <c r="L36" s="14"/>
      <c r="M36" s="14"/>
      <c r="N36" s="14"/>
    </row>
    <row r="37" customFormat="false" ht="15" hidden="false" customHeight="false" outlineLevel="0" collapsed="false">
      <c r="A37" s="15" t="s">
        <v>40</v>
      </c>
      <c r="B37" s="15" t="s">
        <v>41</v>
      </c>
      <c r="K37" s="15" t="s">
        <v>42</v>
      </c>
      <c r="L37" s="15" t="s">
        <v>12</v>
      </c>
      <c r="M37" s="15" t="s">
        <v>16</v>
      </c>
      <c r="N37" s="15" t="s">
        <v>19</v>
      </c>
    </row>
    <row r="38" customFormat="false" ht="15" hidden="false" customHeight="false" outlineLevel="0" collapsed="false">
      <c r="A38" s="16" t="s">
        <v>43</v>
      </c>
      <c r="B38" s="17" t="n">
        <f aca="false">COUNTIFS(Outreach_Data!$K$2:$K$79,"&gt;="&amp;DATE(2026,1,1),Outreach_Data!$K$2:$K$79,"&lt;"&amp;DATE(2026,2,1))</f>
        <v>0</v>
      </c>
      <c r="K38" s="16" t="s">
        <v>44</v>
      </c>
      <c r="L38" s="17" t="n">
        <f aca="false">COUNTIF(Outreach_Data!$I$2:$I$79,K38)</f>
        <v>13</v>
      </c>
      <c r="M38" s="17" t="n">
        <f aca="false">SUMIFS(Outreach_Data!$AA$2:$AA$79,Outreach_Data!$I$2:$I$79,K38)</f>
        <v>4</v>
      </c>
      <c r="N38" s="17" t="n">
        <f aca="false">SUMIFS(Outreach_Data!$V$2:$V$79,Outreach_Data!$I$2:$I$79,K38)</f>
        <v>4</v>
      </c>
    </row>
    <row r="39" customFormat="false" ht="15" hidden="false" customHeight="false" outlineLevel="0" collapsed="false">
      <c r="A39" s="16" t="s">
        <v>45</v>
      </c>
      <c r="B39" s="17" t="n">
        <f aca="false">COUNTIFS(Outreach_Data!$K$2:$K$79,"&gt;="&amp;DATE(2026,2,1),Outreach_Data!$K$2:$K$79,"&lt;"&amp;DATE(2026,3,1))</f>
        <v>0</v>
      </c>
      <c r="K39" s="16" t="s">
        <v>46</v>
      </c>
      <c r="L39" s="17" t="n">
        <f aca="false">COUNTIF(Outreach_Data!$I$2:$I$79,K39)</f>
        <v>13</v>
      </c>
      <c r="M39" s="17" t="n">
        <f aca="false">SUMIFS(Outreach_Data!$AA$2:$AA$79,Outreach_Data!$I$2:$I$79,K39)</f>
        <v>3</v>
      </c>
      <c r="N39" s="17" t="n">
        <f aca="false">SUMIFS(Outreach_Data!$V$2:$V$79,Outreach_Data!$I$2:$I$79,K39)</f>
        <v>4</v>
      </c>
    </row>
    <row r="40" customFormat="false" ht="15" hidden="false" customHeight="false" outlineLevel="0" collapsed="false">
      <c r="A40" s="16" t="s">
        <v>47</v>
      </c>
      <c r="B40" s="17" t="n">
        <f aca="false">COUNTIFS(Outreach_Data!$K$2:$K$79,"&gt;="&amp;DATE(2026,3,1),Outreach_Data!$K$2:$K$79,"&lt;"&amp;DATE(2026,4,1))</f>
        <v>0</v>
      </c>
      <c r="K40" s="16" t="s">
        <v>48</v>
      </c>
      <c r="L40" s="17" t="n">
        <f aca="false">COUNTIF(Outreach_Data!$I$2:$I$79,K40)</f>
        <v>8</v>
      </c>
      <c r="M40" s="17" t="n">
        <f aca="false">SUMIFS(Outreach_Data!$AA$2:$AA$79,Outreach_Data!$I$2:$I$79,K40)</f>
        <v>4</v>
      </c>
      <c r="N40" s="17" t="n">
        <f aca="false">SUMIFS(Outreach_Data!$V$2:$V$79,Outreach_Data!$I$2:$I$79,K40)</f>
        <v>3</v>
      </c>
    </row>
    <row r="41" customFormat="false" ht="15" hidden="false" customHeight="false" outlineLevel="0" collapsed="false">
      <c r="A41" s="16" t="s">
        <v>49</v>
      </c>
      <c r="B41" s="17" t="n">
        <f aca="false">COUNTIFS(Outreach_Data!$K$2:$K$79,"&gt;="&amp;DATE(2026,4,1),Outreach_Data!$K$2:$K$79,"&lt;"&amp;DATE(2026,5,1))</f>
        <v>2</v>
      </c>
      <c r="K41" s="16" t="s">
        <v>50</v>
      </c>
      <c r="L41" s="17" t="n">
        <f aca="false">COUNTIF(Outreach_Data!$I$2:$I$79,K41)</f>
        <v>11</v>
      </c>
      <c r="M41" s="17" t="n">
        <f aca="false">SUMIFS(Outreach_Data!$AA$2:$AA$79,Outreach_Data!$I$2:$I$79,K41)</f>
        <v>5</v>
      </c>
      <c r="N41" s="17" t="n">
        <f aca="false">SUMIFS(Outreach_Data!$V$2:$V$79,Outreach_Data!$I$2:$I$79,K41)</f>
        <v>4</v>
      </c>
    </row>
    <row r="42" customFormat="false" ht="15" hidden="false" customHeight="false" outlineLevel="0" collapsed="false">
      <c r="A42" s="16" t="s">
        <v>51</v>
      </c>
      <c r="B42" s="17" t="n">
        <f aca="false">COUNTIFS(Outreach_Data!$K$2:$K$79,"&gt;="&amp;DATE(2026,5,1),Outreach_Data!$K$2:$K$79,"&lt;"&amp;DATE(2026,6,1))</f>
        <v>1</v>
      </c>
      <c r="K42" s="16" t="s">
        <v>52</v>
      </c>
      <c r="L42" s="17" t="n">
        <f aca="false">COUNTIF(Outreach_Data!$I$2:$I$79,K42)</f>
        <v>17</v>
      </c>
      <c r="M42" s="17" t="n">
        <f aca="false">SUMIFS(Outreach_Data!$AA$2:$AA$79,Outreach_Data!$I$2:$I$79,K42)</f>
        <v>8</v>
      </c>
      <c r="N42" s="17" t="n">
        <f aca="false">SUMIFS(Outreach_Data!$V$2:$V$79,Outreach_Data!$I$2:$I$79,K42)</f>
        <v>9</v>
      </c>
    </row>
    <row r="43" customFormat="false" ht="15" hidden="false" customHeight="false" outlineLevel="0" collapsed="false">
      <c r="A43" s="16" t="s">
        <v>53</v>
      </c>
      <c r="B43" s="17" t="n">
        <f aca="false">COUNTIFS(Outreach_Data!$K$2:$K$79,"&gt;="&amp;DATE(2026,6,1),Outreach_Data!$K$2:$K$79,"&lt;"&amp;DATE(2026,7,1))</f>
        <v>4</v>
      </c>
      <c r="K43" s="16" t="s">
        <v>54</v>
      </c>
      <c r="L43" s="17" t="n">
        <f aca="false">COUNTIF(Outreach_Data!$I$2:$I$79,K43)</f>
        <v>9</v>
      </c>
      <c r="M43" s="17" t="n">
        <f aca="false">SUMIFS(Outreach_Data!$AA$2:$AA$79,Outreach_Data!$I$2:$I$79,K43)</f>
        <v>3</v>
      </c>
      <c r="N43" s="17" t="n">
        <f aca="false">SUMIFS(Outreach_Data!$V$2:$V$79,Outreach_Data!$I$2:$I$79,K43)</f>
        <v>4</v>
      </c>
    </row>
    <row r="44" customFormat="false" ht="15" hidden="false" customHeight="false" outlineLevel="0" collapsed="false">
      <c r="A44" s="16" t="s">
        <v>55</v>
      </c>
      <c r="B44" s="17" t="n">
        <f aca="false">COUNTIFS(Outreach_Data!$K$2:$K$79,"&gt;="&amp;DATE(2026,7,1),Outreach_Data!$K$2:$K$79,"&lt;"&amp;DATE(2026,8,1))</f>
        <v>6</v>
      </c>
      <c r="K44" s="19" t="s">
        <v>56</v>
      </c>
      <c r="L44" s="17" t="n">
        <f aca="false">SUMPRODUCT(--(Outreach_Data!$I$2:$I$79=""))</f>
        <v>7</v>
      </c>
      <c r="M44" s="17" t="n">
        <f aca="false">SUMPRODUCT((Outreach_Data!$I$2:$I$79="")*Outreach_Data!$AA$2:$AA$79)</f>
        <v>3</v>
      </c>
      <c r="N44" s="17" t="n">
        <f aca="false">SUMPRODUCT((Outreach_Data!$I$2:$I$79="")*Outreach_Data!$V$2:$V$79)</f>
        <v>3</v>
      </c>
    </row>
    <row r="45" customFormat="false" ht="15" hidden="false" customHeight="false" outlineLevel="0" collapsed="false">
      <c r="A45" s="16" t="s">
        <v>57</v>
      </c>
      <c r="B45" s="17" t="n">
        <f aca="false">COUNTIFS(Outreach_Data!$K$2:$K$79,"&gt;="&amp;DATE(2026,8,1),Outreach_Data!$K$2:$K$79,"&lt;"&amp;DATE(2026,9,1))</f>
        <v>18</v>
      </c>
      <c r="K45" s="20" t="s">
        <v>36</v>
      </c>
      <c r="L45" s="21" t="n">
        <f aca="false">SUM(L38:L44)</f>
        <v>78</v>
      </c>
      <c r="M45" s="21" t="n">
        <f aca="false">SUM(M38:M44)</f>
        <v>30</v>
      </c>
      <c r="N45" s="21" t="n">
        <f aca="false">SUM(N38:N44)</f>
        <v>31</v>
      </c>
    </row>
    <row r="46" customFormat="false" ht="15" hidden="false" customHeight="false" outlineLevel="0" collapsed="false">
      <c r="A46" s="16" t="s">
        <v>58</v>
      </c>
      <c r="B46" s="17" t="n">
        <f aca="false">COUNTIFS(Outreach_Data!$K$2:$K$79,"&gt;="&amp;DATE(2026,9,1),Outreach_Data!$K$2:$K$79,"&lt;"&amp;DATE(2026,10,1))</f>
        <v>26</v>
      </c>
    </row>
    <row r="47" customFormat="false" ht="15" hidden="false" customHeight="false" outlineLevel="0" collapsed="false">
      <c r="A47" s="16" t="s">
        <v>59</v>
      </c>
      <c r="B47" s="17" t="n">
        <f aca="false">COUNTIFS(Outreach_Data!$K$2:$K$79,"&gt;="&amp;DATE(2026,10,1),Outreach_Data!$K$2:$K$79,"&lt;"&amp;DATE(2026,11,1))</f>
        <v>4</v>
      </c>
    </row>
    <row r="50" customFormat="false" ht="15" hidden="false" customHeight="false" outlineLevel="0" collapsed="false">
      <c r="A50" s="14" t="s">
        <v>60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customFormat="false" ht="25.5" hidden="false" customHeight="true" outlineLevel="0" collapsed="false">
      <c r="A51" s="15" t="s">
        <v>61</v>
      </c>
      <c r="B51" s="15" t="s">
        <v>14</v>
      </c>
      <c r="C51" s="15" t="s">
        <v>11</v>
      </c>
      <c r="D51" s="15"/>
      <c r="E51" s="15" t="s">
        <v>42</v>
      </c>
      <c r="F51" s="15"/>
      <c r="G51" s="15" t="s">
        <v>62</v>
      </c>
      <c r="H51" s="15" t="s">
        <v>63</v>
      </c>
      <c r="I51" s="15"/>
      <c r="J51" s="15"/>
      <c r="K51" s="15"/>
      <c r="L51" s="15" t="s">
        <v>64</v>
      </c>
      <c r="M51" s="15"/>
      <c r="N51" s="15"/>
      <c r="P51" s="23" t="s">
        <v>65</v>
      </c>
    </row>
    <row r="52" customFormat="false" ht="15" hidden="false" customHeight="false" outlineLevel="0" collapsed="false">
      <c r="A52" s="24" t="str">
        <f aca="false">IF($P52="","",IF(INDEX(Outreach_Data!$B$2:$B$79,$P52)="","—",INDEX(Outreach_Data!$B$2:$B$79,$P52)))</f>
        <v>Oman</v>
      </c>
      <c r="B52" s="24" t="str">
        <f aca="false">IF($P52="","",IF(INDEX(Outreach_Data!$R$2:$R$79,$P52)="","—",INDEX(Outreach_Data!$R$2:$R$79,$P52)))</f>
        <v>Middle East</v>
      </c>
      <c r="C52" s="24" t="str">
        <f aca="false">IF($P52="","",IF(INDEX(Outreach_Data!$S$2:$S$79,$P52)="","—",INDEX(Outreach_Data!$S$2:$S$79,$P52)))</f>
        <v>No Response</v>
      </c>
      <c r="D52" s="24"/>
      <c r="E52" s="24" t="str">
        <f aca="false">IF($P52="","",IF(INDEX(Outreach_Data!$I$2:$I$79,$P52)="","—",INDEX(Outreach_Data!$I$2:$I$79,$P52)))</f>
        <v>Imran Sheikh</v>
      </c>
      <c r="F52" s="24"/>
      <c r="G52" s="25" t="n">
        <f aca="false">IF($P52="","",IF(INDEX(Outreach_Data!$W$2:$W$79,$P52)="","—",INDEX(Outreach_Data!$W$2:$W$79,$P52)))</f>
        <v>93</v>
      </c>
      <c r="H52" s="24" t="str">
        <f aca="false">IF($P52="","",IF(INDEX(Outreach_Data!$O$2:$O$79,$P52)="","—",INDEX(Outreach_Data!$O$2:$O$79,$P52)))</f>
        <v>Escalate via phone / alternate contact</v>
      </c>
      <c r="I52" s="24"/>
      <c r="J52" s="24"/>
      <c r="K52" s="24"/>
      <c r="L52" s="24" t="str">
        <f aca="false">IF($P52="","",IF(INDEX(Outreach_Data!$D$2:$D$79,$P52)="","—",INDEX(Outreach_Data!$D$2:$D$79,$P52)))</f>
        <v>—</v>
      </c>
      <c r="M52" s="24"/>
      <c r="N52" s="24"/>
      <c r="P52" s="26" t="n">
        <f aca="false">IFERROR(IF(LARGE(Outreach_Data!$Z$2:$Z$79,1)&gt;0,MATCH(LARGE(Outreach_Data!$Z$2:$Z$79,1),Outreach_Data!$Z$2:$Z$79,0),""),"")</f>
        <v>68</v>
      </c>
    </row>
    <row r="53" customFormat="false" ht="15" hidden="false" customHeight="false" outlineLevel="0" collapsed="false">
      <c r="A53" s="24" t="str">
        <f aca="false">IF($P53="","",IF(INDEX(Outreach_Data!$B$2:$B$79,$P53)="","—",INDEX(Outreach_Data!$B$2:$B$79,$P53)))</f>
        <v>Guyana</v>
      </c>
      <c r="B53" s="24" t="str">
        <f aca="false">IF($P53="","",IF(INDEX(Outreach_Data!$R$2:$R$79,$P53)="","—",INDEX(Outreach_Data!$R$2:$R$79,$P53)))</f>
        <v>Americas</v>
      </c>
      <c r="C53" s="24" t="str">
        <f aca="false">IF($P53="","",IF(INDEX(Outreach_Data!$S$2:$S$79,$P53)="","—",INDEX(Outreach_Data!$S$2:$S$79,$P53)))</f>
        <v>No Response</v>
      </c>
      <c r="D53" s="24"/>
      <c r="E53" s="24" t="str">
        <f aca="false">IF($P53="","",IF(INDEX(Outreach_Data!$I$2:$I$79,$P53)="","—",INDEX(Outreach_Data!$I$2:$I$79,$P53)))</f>
        <v>Priya Nair</v>
      </c>
      <c r="F53" s="24"/>
      <c r="G53" s="25" t="n">
        <f aca="false">IF($P53="","",IF(INDEX(Outreach_Data!$W$2:$W$79,$P53)="","—",INDEX(Outreach_Data!$W$2:$W$79,$P53)))</f>
        <v>79</v>
      </c>
      <c r="H53" s="24" t="str">
        <f aca="false">IF($P53="","",IF(INDEX(Outreach_Data!$O$2:$O$79,$P53)="","—",INDEX(Outreach_Data!$O$2:$O$79,$P53)))</f>
        <v>Escalate via phone / alternate contact</v>
      </c>
      <c r="I53" s="24"/>
      <c r="J53" s="24"/>
      <c r="K53" s="24"/>
      <c r="L53" s="24" t="str">
        <f aca="false">IF($P53="","",IF(INDEX(Outreach_Data!$D$2:$D$79,$P53)="","—",INDEX(Outreach_Data!$D$2:$D$79,$P53)))</f>
        <v>Yusuf Chen</v>
      </c>
      <c r="M53" s="24"/>
      <c r="N53" s="24"/>
      <c r="P53" s="26" t="n">
        <f aca="false">IFERROR(IF(LARGE(Outreach_Data!$Z$2:$Z$79,2)&gt;0,MATCH(LARGE(Outreach_Data!$Z$2:$Z$79,2),Outreach_Data!$Z$2:$Z$79,0),""),"")</f>
        <v>25</v>
      </c>
    </row>
    <row r="54" customFormat="false" ht="15" hidden="false" customHeight="false" outlineLevel="0" collapsed="false">
      <c r="A54" s="24" t="str">
        <f aca="false">IF($P54="","",IF(INDEX(Outreach_Data!$B$2:$B$79,$P54)="","—",INDEX(Outreach_Data!$B$2:$B$79,$P54)))</f>
        <v>Finland</v>
      </c>
      <c r="B54" s="24" t="str">
        <f aca="false">IF($P54="","",IF(INDEX(Outreach_Data!$R$2:$R$79,$P54)="","—",INDEX(Outreach_Data!$R$2:$R$79,$P54)))</f>
        <v>Europe</v>
      </c>
      <c r="C54" s="24" t="str">
        <f aca="false">IF($P54="","",IF(INDEX(Outreach_Data!$S$2:$S$79,$P54)="","—",INDEX(Outreach_Data!$S$2:$S$79,$P54)))</f>
        <v>No Response</v>
      </c>
      <c r="D54" s="24"/>
      <c r="E54" s="24" t="str">
        <f aca="false">IF($P54="","",IF(INDEX(Outreach_Data!$I$2:$I$79,$P54)="","—",INDEX(Outreach_Data!$I$2:$I$79,$P54)))</f>
        <v>Imran Sheikh</v>
      </c>
      <c r="F54" s="24"/>
      <c r="G54" s="25" t="n">
        <f aca="false">IF($P54="","",IF(INDEX(Outreach_Data!$W$2:$W$79,$P54)="","—",INDEX(Outreach_Data!$W$2:$W$79,$P54)))</f>
        <v>72</v>
      </c>
      <c r="H54" s="24" t="str">
        <f aca="false">IF($P54="","",IF(INDEX(Outreach_Data!$O$2:$O$79,$P54)="","—",INDEX(Outreach_Data!$O$2:$O$79,$P54)))</f>
        <v>Escalate via phone / alternate contact</v>
      </c>
      <c r="I54" s="24"/>
      <c r="J54" s="24"/>
      <c r="K54" s="24"/>
      <c r="L54" s="24" t="str">
        <f aca="false">IF($P54="","",IF(INDEX(Outreach_Data!$D$2:$D$79,$P54)="","—",INDEX(Outreach_Data!$D$2:$D$79,$P54)))</f>
        <v>David Fernandez</v>
      </c>
      <c r="M54" s="24"/>
      <c r="N54" s="24"/>
      <c r="P54" s="26" t="n">
        <f aca="false">IFERROR(IF(LARGE(Outreach_Data!$Z$2:$Z$79,3)&gt;0,MATCH(LARGE(Outreach_Data!$Z$2:$Z$79,3),Outreach_Data!$Z$2:$Z$79,0),""),"")</f>
        <v>67</v>
      </c>
    </row>
    <row r="55" customFormat="false" ht="15" hidden="false" customHeight="false" outlineLevel="0" collapsed="false">
      <c r="A55" s="24" t="str">
        <f aca="false">IF($P55="","",IF(INDEX(Outreach_Data!$B$2:$B$79,$P55)="","—",INDEX(Outreach_Data!$B$2:$B$79,$P55)))</f>
        <v>South Korea</v>
      </c>
      <c r="B55" s="24" t="str">
        <f aca="false">IF($P55="","",IF(INDEX(Outreach_Data!$R$2:$R$79,$P55)="","—",INDEX(Outreach_Data!$R$2:$R$79,$P55)))</f>
        <v>Asia-Pacific</v>
      </c>
      <c r="C55" s="24" t="str">
        <f aca="false">IF($P55="","",IF(INDEX(Outreach_Data!$S$2:$S$79,$P55)="","—",INDEX(Outreach_Data!$S$2:$S$79,$P55)))</f>
        <v>No Response</v>
      </c>
      <c r="D55" s="24"/>
      <c r="E55" s="24" t="str">
        <f aca="false">IF($P55="","",IF(INDEX(Outreach_Data!$I$2:$I$79,$P55)="","—",INDEX(Outreach_Data!$I$2:$I$79,$P55)))</f>
        <v>Rohan Mehta</v>
      </c>
      <c r="F55" s="24"/>
      <c r="G55" s="25" t="n">
        <f aca="false">IF($P55="","",IF(INDEX(Outreach_Data!$W$2:$W$79,$P55)="","—",INDEX(Outreach_Data!$W$2:$W$79,$P55)))</f>
        <v>70</v>
      </c>
      <c r="H55" s="24" t="str">
        <f aca="false">IF($P55="","",IF(INDEX(Outreach_Data!$O$2:$O$79,$P55)="","—",INDEX(Outreach_Data!$O$2:$O$79,$P55)))</f>
        <v>Escalate via phone / alternate contact</v>
      </c>
      <c r="I55" s="24"/>
      <c r="J55" s="24"/>
      <c r="K55" s="24"/>
      <c r="L55" s="24" t="str">
        <f aca="false">IF($P55="","",IF(INDEX(Outreach_Data!$D$2:$D$79,$P55)="","—",INDEX(Outreach_Data!$D$2:$D$79,$P55)))</f>
        <v>Kwame Fernandez</v>
      </c>
      <c r="M55" s="24"/>
      <c r="N55" s="24"/>
      <c r="P55" s="26" t="n">
        <f aca="false">IFERROR(IF(LARGE(Outreach_Data!$Z$2:$Z$79,4)&gt;0,MATCH(LARGE(Outreach_Data!$Z$2:$Z$79,4),Outreach_Data!$Z$2:$Z$79,0),""),"")</f>
        <v>10</v>
      </c>
    </row>
    <row r="56" customFormat="false" ht="15" hidden="false" customHeight="false" outlineLevel="0" collapsed="false">
      <c r="A56" s="24" t="str">
        <f aca="false">IF($P56="","",IF(INDEX(Outreach_Data!$B$2:$B$79,$P56)="","—",INDEX(Outreach_Data!$B$2:$B$79,$P56)))</f>
        <v>Uganda</v>
      </c>
      <c r="B56" s="24" t="str">
        <f aca="false">IF($P56="","",IF(INDEX(Outreach_Data!$R$2:$R$79,$P56)="","—",INDEX(Outreach_Data!$R$2:$R$79,$P56)))</f>
        <v>Africa</v>
      </c>
      <c r="C56" s="24" t="str">
        <f aca="false">IF($P56="","",IF(INDEX(Outreach_Data!$S$2:$S$79,$P56)="","—",INDEX(Outreach_Data!$S$2:$S$79,$P56)))</f>
        <v>No Response</v>
      </c>
      <c r="D56" s="24"/>
      <c r="E56" s="24" t="str">
        <f aca="false">IF($P56="","",IF(INDEX(Outreach_Data!$I$2:$I$79,$P56)="","—",INDEX(Outreach_Data!$I$2:$I$79,$P56)))</f>
        <v>Aisha Khan</v>
      </c>
      <c r="F56" s="24"/>
      <c r="G56" s="25" t="n">
        <f aca="false">IF($P56="","",IF(INDEX(Outreach_Data!$W$2:$W$79,$P56)="","—",INDEX(Outreach_Data!$W$2:$W$79,$P56)))</f>
        <v>66</v>
      </c>
      <c r="H56" s="24" t="str">
        <f aca="false">IF($P56="","",IF(INDEX(Outreach_Data!$O$2:$O$79,$P56)="","—",INDEX(Outreach_Data!$O$2:$O$79,$P56)))</f>
        <v>Escalate via phone / alternate contact</v>
      </c>
      <c r="I56" s="24"/>
      <c r="J56" s="24"/>
      <c r="K56" s="24"/>
      <c r="L56" s="24" t="str">
        <f aca="false">IF($P56="","",IF(INDEX(Outreach_Data!$D$2:$D$79,$P56)="","—",INDEX(Outreach_Data!$D$2:$D$79,$P56)))</f>
        <v>Layla Ali</v>
      </c>
      <c r="M56" s="24"/>
      <c r="N56" s="24"/>
      <c r="P56" s="26" t="n">
        <f aca="false">IFERROR(IF(LARGE(Outreach_Data!$Z$2:$Z$79,5)&gt;0,MATCH(LARGE(Outreach_Data!$Z$2:$Z$79,5),Outreach_Data!$Z$2:$Z$79,0),""),"")</f>
        <v>72</v>
      </c>
    </row>
    <row r="57" customFormat="false" ht="15" hidden="false" customHeight="false" outlineLevel="0" collapsed="false">
      <c r="A57" s="24" t="str">
        <f aca="false">IF($P57="","",IF(INDEX(Outreach_Data!$B$2:$B$79,$P57)="","—",INDEX(Outreach_Data!$B$2:$B$79,$P57)))</f>
        <v>Ghana</v>
      </c>
      <c r="B57" s="24" t="str">
        <f aca="false">IF($P57="","",IF(INDEX(Outreach_Data!$R$2:$R$79,$P57)="","—",INDEX(Outreach_Data!$R$2:$R$79,$P57)))</f>
        <v>Africa</v>
      </c>
      <c r="C57" s="24" t="str">
        <f aca="false">IF($P57="","",IF(INDEX(Outreach_Data!$S$2:$S$79,$P57)="","—",INDEX(Outreach_Data!$S$2:$S$79,$P57)))</f>
        <v>No Response</v>
      </c>
      <c r="D57" s="24"/>
      <c r="E57" s="24" t="str">
        <f aca="false">IF($P57="","",IF(INDEX(Outreach_Data!$I$2:$I$79,$P57)="","—",INDEX(Outreach_Data!$I$2:$I$79,$P57)))</f>
        <v>Imran Sheikh</v>
      </c>
      <c r="F57" s="24"/>
      <c r="G57" s="25" t="n">
        <f aca="false">IF($P57="","",IF(INDEX(Outreach_Data!$W$2:$W$79,$P57)="","—",INDEX(Outreach_Data!$W$2:$W$79,$P57)))</f>
        <v>66</v>
      </c>
      <c r="H57" s="24" t="str">
        <f aca="false">IF($P57="","",IF(INDEX(Outreach_Data!$O$2:$O$79,$P57)="","—",INDEX(Outreach_Data!$O$2:$O$79,$P57)))</f>
        <v>Escalate via phone / alternate contact</v>
      </c>
      <c r="I57" s="24"/>
      <c r="J57" s="24"/>
      <c r="K57" s="24"/>
      <c r="L57" s="24" t="str">
        <f aca="false">IF($P57="","",IF(INDEX(Outreach_Data!$D$2:$D$79,$P57)="","—",INDEX(Outreach_Data!$D$2:$D$79,$P57)))</f>
        <v>Kwame Kowalski</v>
      </c>
      <c r="M57" s="24"/>
      <c r="N57" s="24"/>
      <c r="P57" s="26" t="n">
        <f aca="false">IFERROR(IF(LARGE(Outreach_Data!$Z$2:$Z$79,6)&gt;0,MATCH(LARGE(Outreach_Data!$Z$2:$Z$79,6),Outreach_Data!$Z$2:$Z$79,0),""),"")</f>
        <v>44</v>
      </c>
    </row>
    <row r="58" customFormat="false" ht="15" hidden="false" customHeight="false" outlineLevel="0" collapsed="false">
      <c r="A58" s="24" t="str">
        <f aca="false">IF($P58="","",IF(INDEX(Outreach_Data!$B$2:$B$79,$P58)="","—",INDEX(Outreach_Data!$B$2:$B$79,$P58)))</f>
        <v>Indonesia</v>
      </c>
      <c r="B58" s="24" t="str">
        <f aca="false">IF($P58="","",IF(INDEX(Outreach_Data!$R$2:$R$79,$P58)="","—",INDEX(Outreach_Data!$R$2:$R$79,$P58)))</f>
        <v>Asia-Pacific</v>
      </c>
      <c r="C58" s="24" t="str">
        <f aca="false">IF($P58="","",IF(INDEX(Outreach_Data!$S$2:$S$79,$P58)="","—",INDEX(Outreach_Data!$S$2:$S$79,$P58)))</f>
        <v>No Response</v>
      </c>
      <c r="D58" s="24"/>
      <c r="E58" s="24" t="str">
        <f aca="false">IF($P58="","",IF(INDEX(Outreach_Data!$I$2:$I$79,$P58)="","—",INDEX(Outreach_Data!$I$2:$I$79,$P58)))</f>
        <v>Karan Joshi</v>
      </c>
      <c r="F58" s="24"/>
      <c r="G58" s="25" t="n">
        <f aca="false">IF($P58="","",IF(INDEX(Outreach_Data!$W$2:$W$79,$P58)="","—",INDEX(Outreach_Data!$W$2:$W$79,$P58)))</f>
        <v>61</v>
      </c>
      <c r="H58" s="24" t="str">
        <f aca="false">IF($P58="","",IF(INDEX(Outreach_Data!$O$2:$O$79,$P58)="","—",INDEX(Outreach_Data!$O$2:$O$79,$P58)))</f>
        <v>Escalate via phone / alternate contact</v>
      </c>
      <c r="I58" s="24"/>
      <c r="J58" s="24"/>
      <c r="K58" s="24"/>
      <c r="L58" s="24" t="str">
        <f aca="false">IF($P58="","",IF(INDEX(Outreach_Data!$D$2:$D$79,$P58)="","—",INDEX(Outreach_Data!$D$2:$D$79,$P58)))</f>
        <v>—</v>
      </c>
      <c r="M58" s="24"/>
      <c r="N58" s="24"/>
      <c r="P58" s="26" t="n">
        <f aca="false">IFERROR(IF(LARGE(Outreach_Data!$Z$2:$Z$79,7)&gt;0,MATCH(LARGE(Outreach_Data!$Z$2:$Z$79,7),Outreach_Data!$Z$2:$Z$79,0),""),"")</f>
        <v>2</v>
      </c>
    </row>
    <row r="59" customFormat="false" ht="15" hidden="false" customHeight="false" outlineLevel="0" collapsed="false">
      <c r="A59" s="24" t="str">
        <f aca="false">IF($P59="","",IF(INDEX(Outreach_Data!$B$2:$B$79,$P59)="","—",INDEX(Outreach_Data!$B$2:$B$79,$P59)))</f>
        <v>South Africa</v>
      </c>
      <c r="B59" s="24" t="str">
        <f aca="false">IF($P59="","",IF(INDEX(Outreach_Data!$R$2:$R$79,$P59)="","—",INDEX(Outreach_Data!$R$2:$R$79,$P59)))</f>
        <v>Africa</v>
      </c>
      <c r="C59" s="24" t="str">
        <f aca="false">IF($P59="","",IF(INDEX(Outreach_Data!$S$2:$S$79,$P59)="","—",INDEX(Outreach_Data!$S$2:$S$79,$P59)))</f>
        <v>Contacted</v>
      </c>
      <c r="D59" s="24"/>
      <c r="E59" s="24" t="str">
        <f aca="false">IF($P59="","",IF(INDEX(Outreach_Data!$I$2:$I$79,$P59)="","—",INDEX(Outreach_Data!$I$2:$I$79,$P59)))</f>
        <v>Priya Nair</v>
      </c>
      <c r="F59" s="24"/>
      <c r="G59" s="25" t="n">
        <f aca="false">IF($P59="","",IF(INDEX(Outreach_Data!$W$2:$W$79,$P59)="","—",INDEX(Outreach_Data!$W$2:$W$79,$P59)))</f>
        <v>42</v>
      </c>
      <c r="H59" s="24" t="str">
        <f aca="false">IF($P59="","",IF(INDEX(Outreach_Data!$O$2:$O$79,$P59)="","—",INDEX(Outreach_Data!$O$2:$O$79,$P59)))</f>
        <v>Follow-up email</v>
      </c>
      <c r="I59" s="24"/>
      <c r="J59" s="24"/>
      <c r="K59" s="24"/>
      <c r="L59" s="24" t="str">
        <f aca="false">IF($P59="","",IF(INDEX(Outreach_Data!$D$2:$D$79,$P59)="","—",INDEX(Outreach_Data!$D$2:$D$79,$P59)))</f>
        <v>Liam Ali</v>
      </c>
      <c r="M59" s="24"/>
      <c r="N59" s="24"/>
      <c r="P59" s="26" t="n">
        <f aca="false">IFERROR(IF(LARGE(Outreach_Data!$Z$2:$Z$79,8)&gt;0,MATCH(LARGE(Outreach_Data!$Z$2:$Z$79,8),Outreach_Data!$Z$2:$Z$79,0),""),"")</f>
        <v>19</v>
      </c>
    </row>
    <row r="60" customFormat="false" ht="15" hidden="false" customHeight="false" outlineLevel="0" collapsed="false">
      <c r="A60" s="24" t="str">
        <f aca="false">IF($P60="","",IF(INDEX(Outreach_Data!$B$2:$B$79,$P60)="","—",INDEX(Outreach_Data!$B$2:$B$79,$P60)))</f>
        <v>Malaysia</v>
      </c>
      <c r="B60" s="24" t="str">
        <f aca="false">IF($P60="","",IF(INDEX(Outreach_Data!$R$2:$R$79,$P60)="","—",INDEX(Outreach_Data!$R$2:$R$79,$P60)))</f>
        <v>Asia-Pacific</v>
      </c>
      <c r="C60" s="24" t="str">
        <f aca="false">IF($P60="","",IF(INDEX(Outreach_Data!$S$2:$S$79,$P60)="","—",INDEX(Outreach_Data!$S$2:$S$79,$P60)))</f>
        <v>No Response</v>
      </c>
      <c r="D60" s="24"/>
      <c r="E60" s="24" t="str">
        <f aca="false">IF($P60="","",IF(INDEX(Outreach_Data!$I$2:$I$79,$P60)="","—",INDEX(Outreach_Data!$I$2:$I$79,$P60)))</f>
        <v>Neha Verma</v>
      </c>
      <c r="F60" s="24"/>
      <c r="G60" s="25" t="n">
        <f aca="false">IF($P60="","",IF(INDEX(Outreach_Data!$W$2:$W$79,$P60)="","—",INDEX(Outreach_Data!$W$2:$W$79,$P60)))</f>
        <v>42</v>
      </c>
      <c r="H60" s="24" t="str">
        <f aca="false">IF($P60="","",IF(INDEX(Outreach_Data!$O$2:$O$79,$P60)="","—",INDEX(Outreach_Data!$O$2:$O$79,$P60)))</f>
        <v>Escalate via phone / alternate contact</v>
      </c>
      <c r="I60" s="24"/>
      <c r="J60" s="24"/>
      <c r="K60" s="24"/>
      <c r="L60" s="24" t="str">
        <f aca="false">IF($P60="","",IF(INDEX(Outreach_Data!$D$2:$D$79,$P60)="","—",INDEX(Outreach_Data!$D$2:$D$79,$P60)))</f>
        <v>Liam Rossi</v>
      </c>
      <c r="M60" s="24"/>
      <c r="N60" s="24"/>
      <c r="P60" s="26" t="n">
        <f aca="false">IFERROR(IF(LARGE(Outreach_Data!$Z$2:$Z$79,9)&gt;0,MATCH(LARGE(Outreach_Data!$Z$2:$Z$79,9),Outreach_Data!$Z$2:$Z$79,0),""),"")</f>
        <v>15</v>
      </c>
    </row>
    <row r="61" customFormat="false" ht="15" hidden="false" customHeight="false" outlineLevel="0" collapsed="false">
      <c r="A61" s="24" t="str">
        <f aca="false">IF($P61="","",IF(INDEX(Outreach_Data!$B$2:$B$79,$P61)="","—",INDEX(Outreach_Data!$B$2:$B$79,$P61)))</f>
        <v>Bahrain</v>
      </c>
      <c r="B61" s="24" t="str">
        <f aca="false">IF($P61="","",IF(INDEX(Outreach_Data!$R$2:$R$79,$P61)="","—",INDEX(Outreach_Data!$R$2:$R$79,$P61)))</f>
        <v>Middle East</v>
      </c>
      <c r="C61" s="24" t="str">
        <f aca="false">IF($P61="","",IF(INDEX(Outreach_Data!$S$2:$S$79,$P61)="","—",INDEX(Outreach_Data!$S$2:$S$79,$P61)))</f>
        <v>No Response</v>
      </c>
      <c r="D61" s="24"/>
      <c r="E61" s="24" t="str">
        <f aca="false">IF($P61="","",IF(INDEX(Outreach_Data!$I$2:$I$79,$P61)="","—",INDEX(Outreach_Data!$I$2:$I$79,$P61)))</f>
        <v>Neha Verma</v>
      </c>
      <c r="F61" s="24"/>
      <c r="G61" s="25" t="n">
        <f aca="false">IF($P61="","",IF(INDEX(Outreach_Data!$W$2:$W$79,$P61)="","—",INDEX(Outreach_Data!$W$2:$W$79,$P61)))</f>
        <v>37</v>
      </c>
      <c r="H61" s="24" t="str">
        <f aca="false">IF($P61="","",IF(INDEX(Outreach_Data!$O$2:$O$79,$P61)="","—",INDEX(Outreach_Data!$O$2:$O$79,$P61)))</f>
        <v>Escalate via phone / alternate contact</v>
      </c>
      <c r="I61" s="24"/>
      <c r="J61" s="24"/>
      <c r="K61" s="24"/>
      <c r="L61" s="24" t="str">
        <f aca="false">IF($P61="","",IF(INDEX(Outreach_Data!$D$2:$D$79,$P61)="","—",INDEX(Outreach_Data!$D$2:$D$79,$P61)))</f>
        <v>Mina Ali</v>
      </c>
      <c r="M61" s="24"/>
      <c r="N61" s="24"/>
      <c r="P61" s="26" t="n">
        <f aca="false">IFERROR(IF(LARGE(Outreach_Data!$Z$2:$Z$79,10)&gt;0,MATCH(LARGE(Outreach_Data!$Z$2:$Z$79,10),Outreach_Data!$Z$2:$Z$79,0),""),"")</f>
        <v>28</v>
      </c>
    </row>
    <row r="64" customFormat="false" ht="15" hidden="false" customHeight="false" outlineLevel="0" collapsed="false">
      <c r="A64" s="14" t="s">
        <v>66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customFormat="false" ht="27.75" hidden="false" customHeight="true" outlineLevel="0" collapsed="false">
      <c r="A65" s="27" t="str">
        <f aca="false">"1. Pipeline: "&amp;TEXT(B11*0+SUM(Outreach_Data!$AB$2:$AB$79)/COUNTA(Outreach_Data!$A$2:$A$79),"0%")&amp;" of embassy records have been contacted, but only "&amp;TEXT(IF(SUM(Outreach_Data!$AB$2:$AB$79)=0,0,SUM(Outreach_Data!$AA$2:$AA$79)/SUM(Outreach_Data!$AB$2:$AB$79)),"0%")&amp;" of contacted embassies are engaged (in discussion, meeting scheduled or active partnership)."</f>
        <v>1. Pipeline: 83% of embassy records have been contacted, but only 46% of contacted embassies are engaged (in discussion, meeting scheduled or active partnership).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customFormat="false" ht="27.75" hidden="false" customHeight="true" outlineLevel="0" collapsed="false">
      <c r="A66" s="27" t="str">
        <f aca="false">"2. Regions: highest engagement rate is "&amp;INDEX(E10:E14,MATCH(MAX(J10:J14),J10:J14,0))&amp;" ("&amp;TEXT(MAX(J10:J14),"0%")&amp;"); lowest is "&amp;INDEX(E10:E14,MATCH(MIN(J10:J14),J10:J14,0))&amp;" ("&amp;TEXT(MIN(J10:J14),"0%")&amp;")."</f>
        <v>2. Regions: highest engagement rate is Middle East (75%); lowest is Americas (0%).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customFormat="false" ht="27.75" hidden="false" customHeight="true" outlineLevel="0" collapsed="false">
      <c r="A67" s="27" t="str">
        <f aca="false">"3. Follow-up discipline: "&amp;SUM(Outreach_Data!$V$2:$V$79)&amp;" follow-ups are overdue and "&amp;SUM(Outreach_Data!$X$2:$X$79)&amp;" contacts have had no touchpoint for more than "&amp;Lists!$K$3&amp;" days — start with the priority list above."</f>
        <v>3. Follow-up discipline: 31 follow-ups are overdue and 30 contacts have had no touchpoint for more than 30 days — start with the priority list above.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customFormat="false" ht="27.75" hidden="false" customHeight="true" outlineLevel="0" collapsed="false">
      <c r="A68" s="27" t="str">
        <f aca="false">"4. Workload: "&amp;INDEX(K38:K44,MATCH(MAX(N38:N44),N38:N44,0))&amp;" holds the most overdue follow-ups ("&amp;MAX(N38:N44)&amp;"); "&amp;L44&amp;" records have no owner assigned."</f>
        <v>4. Workload: Neha Verma holds the most overdue follow-ups (9); 7 records have no owner assigned.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customFormat="false" ht="27.75" hidden="false" customHeight="true" outlineLevel="0" collapsed="false">
      <c r="A69" s="27" t="str">
        <f aca="false">"5. Data reliability: "&amp;COUNTIF(Outreach_Data!$Y$2:$Y$79,"&gt;0")&amp;" of "&amp;COUNTA(Outreach_Data!$A$2:$A$79)&amp;" records ("&amp;TEXT(COUNTIF(Outreach_Data!$Y$2:$Y$79,"&gt;0")/COUNTA(Outreach_Data!$A$2:$A$79),"0%")&amp;") carry at least one data-quality issue — fix these before using regional or owner splits for decisions."</f>
        <v>5. Data reliability: 49 of 78 records (63%) carry at least one data-quality issue — fix these before using regional or owner splits for decisions.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1" customFormat="false" ht="36" hidden="false" customHeight="true" outlineLevel="0" collapsed="false">
      <c r="A71" s="28" t="s">
        <v>67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 customFormat="false" ht="15" hidden="false" customHeight="false" outlineLevel="0" collapsed="false">
      <c r="A72" s="29" t="s">
        <v>68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</sheetData>
  <mergeCells count="81">
    <mergeCell ref="A1:N1"/>
    <mergeCell ref="A2:N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8:C8"/>
    <mergeCell ref="E8:K8"/>
    <mergeCell ref="M8:N8"/>
    <mergeCell ref="A36:B36"/>
    <mergeCell ref="K36:N36"/>
    <mergeCell ref="A50:N50"/>
    <mergeCell ref="C51:D51"/>
    <mergeCell ref="E51:F51"/>
    <mergeCell ref="H51:K51"/>
    <mergeCell ref="L51:N51"/>
    <mergeCell ref="C52:D52"/>
    <mergeCell ref="E52:F52"/>
    <mergeCell ref="H52:K52"/>
    <mergeCell ref="L52:N52"/>
    <mergeCell ref="C53:D53"/>
    <mergeCell ref="E53:F53"/>
    <mergeCell ref="H53:K53"/>
    <mergeCell ref="L53:N53"/>
    <mergeCell ref="C54:D54"/>
    <mergeCell ref="E54:F54"/>
    <mergeCell ref="H54:K54"/>
    <mergeCell ref="L54:N54"/>
    <mergeCell ref="C55:D55"/>
    <mergeCell ref="E55:F55"/>
    <mergeCell ref="H55:K55"/>
    <mergeCell ref="L55:N55"/>
    <mergeCell ref="C56:D56"/>
    <mergeCell ref="E56:F56"/>
    <mergeCell ref="H56:K56"/>
    <mergeCell ref="L56:N56"/>
    <mergeCell ref="C57:D57"/>
    <mergeCell ref="E57:F57"/>
    <mergeCell ref="H57:K57"/>
    <mergeCell ref="L57:N57"/>
    <mergeCell ref="C58:D58"/>
    <mergeCell ref="E58:F58"/>
    <mergeCell ref="H58:K58"/>
    <mergeCell ref="L58:N58"/>
    <mergeCell ref="C59:D59"/>
    <mergeCell ref="E59:F59"/>
    <mergeCell ref="H59:K59"/>
    <mergeCell ref="L59:N59"/>
    <mergeCell ref="C60:D60"/>
    <mergeCell ref="E60:F60"/>
    <mergeCell ref="H60:K60"/>
    <mergeCell ref="L60:N60"/>
    <mergeCell ref="C61:D61"/>
    <mergeCell ref="E61:F61"/>
    <mergeCell ref="H61:K61"/>
    <mergeCell ref="L61:N61"/>
    <mergeCell ref="A64:N64"/>
    <mergeCell ref="A65:N65"/>
    <mergeCell ref="A66:N66"/>
    <mergeCell ref="A67:N67"/>
    <mergeCell ref="A68:N68"/>
    <mergeCell ref="A69:N69"/>
    <mergeCell ref="A71:N71"/>
    <mergeCell ref="A72:N72"/>
  </mergeCells>
  <conditionalFormatting sqref="N38:N44">
    <cfRule type="cellIs" priority="2" operator="greaterThanOrEqual" aboveAverage="0" equalAverage="0" bottom="0" percent="0" rank="0" text="" dxfId="0">
      <formula>5</formula>
    </cfRule>
  </conditionalFormatting>
  <hyperlinks>
    <hyperlink ref="A72" r:id="rId1" display="Built by Md. Huzeifa Yaseen Shaikh  |  GitHub: github.com/zaif-ux  |  Synthetic sample data created with AI assistance (Claude) for a portfolio projec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52"/>
    <col collapsed="false" customWidth="true" hidden="false" outlineLevel="0" max="8" min="8" style="0" width="48"/>
  </cols>
  <sheetData>
    <row r="1" customFormat="false" ht="30" hidden="false" customHeight="true" outlineLevel="0" collapsed="false">
      <c r="A1" s="30" t="s">
        <v>69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31" t="str">
        <f aca="false">"Counts are live formulas on the Outreach_Data sheet ("&amp;COUNTA(Outreach_Data!$A$2:$A$79)&amp;" records, as of "&amp;TEXT(Lists!K2,"dd mmm yyyy")&amp;"). Severity reflects impact on leadership reporting."</f>
        <v>Counts are live formulas on the Outreach_Data sheet (78 records, as of 06 Oct 2026). Severity reflects impact on leadership reporting.</v>
      </c>
      <c r="B2" s="31"/>
      <c r="C2" s="31"/>
      <c r="D2" s="31"/>
      <c r="E2" s="31"/>
      <c r="F2" s="31"/>
      <c r="G2" s="31"/>
      <c r="H2" s="31"/>
    </row>
    <row r="4" customFormat="false" ht="23.85" hidden="false" customHeight="false" outlineLevel="0" collapsed="false">
      <c r="A4" s="32" t="s">
        <v>70</v>
      </c>
      <c r="B4" s="32" t="s">
        <v>71</v>
      </c>
      <c r="C4" s="32" t="s">
        <v>72</v>
      </c>
      <c r="D4" s="32" t="s">
        <v>73</v>
      </c>
      <c r="E4" s="32" t="s">
        <v>74</v>
      </c>
      <c r="F4" s="32" t="s">
        <v>75</v>
      </c>
      <c r="G4" s="32" t="s">
        <v>76</v>
      </c>
      <c r="H4" s="32" t="s">
        <v>77</v>
      </c>
    </row>
    <row r="5" customFormat="false" ht="43.5" hidden="false" customHeight="true" outlineLevel="0" collapsed="false">
      <c r="A5" s="33" t="n">
        <v>1</v>
      </c>
      <c r="B5" s="34" t="s">
        <v>78</v>
      </c>
      <c r="C5" s="34" t="s">
        <v>79</v>
      </c>
      <c r="D5" s="35" t="n">
        <f aca="false">SUMPRODUCT(--(COUNTIF(Outreach_Data!$B$2:$B$79,Outreach_Data!$B$2:$B$79)&gt;1))</f>
        <v>10</v>
      </c>
      <c r="E5" s="36" t="n">
        <f aca="false">D5/COUNTA(Outreach_Data!$A$2:$A$79)</f>
        <v>0.128205128205128</v>
      </c>
      <c r="F5" s="33" t="s">
        <v>23</v>
      </c>
      <c r="G5" s="34" t="s">
        <v>80</v>
      </c>
      <c r="H5" s="34" t="s">
        <v>81</v>
      </c>
    </row>
    <row r="6" customFormat="false" ht="43.5" hidden="false" customHeight="true" outlineLevel="0" collapsed="false">
      <c r="A6" s="33" t="n">
        <v>2</v>
      </c>
      <c r="B6" s="34" t="s">
        <v>82</v>
      </c>
      <c r="C6" s="34" t="s">
        <v>11</v>
      </c>
      <c r="D6" s="35" t="n">
        <f aca="false">COUNTBLANK(Outreach_Data!$L$2:$L$79)</f>
        <v>3</v>
      </c>
      <c r="E6" s="36" t="n">
        <f aca="false">D6/COUNTA(Outreach_Data!$A$2:$A$79)</f>
        <v>0.0384615384615385</v>
      </c>
      <c r="F6" s="33" t="s">
        <v>23</v>
      </c>
      <c r="G6" s="34" t="s">
        <v>83</v>
      </c>
      <c r="H6" s="34" t="s">
        <v>84</v>
      </c>
    </row>
    <row r="7" customFormat="false" ht="43.5" hidden="false" customHeight="true" outlineLevel="0" collapsed="false">
      <c r="A7" s="33" t="n">
        <v>3</v>
      </c>
      <c r="B7" s="34" t="s">
        <v>85</v>
      </c>
      <c r="C7" s="34" t="s">
        <v>11</v>
      </c>
      <c r="D7" s="35" t="n">
        <f aca="false">SUMPRODUCT((Outreach_Data!$L$2:$L$79&lt;&gt;"")*(1-EXACT(Outreach_Data!$L$2:$L$79,Outreach_Data!$S$2:$S$79)))</f>
        <v>12</v>
      </c>
      <c r="E7" s="36" t="n">
        <f aca="false">D7/COUNTA(Outreach_Data!$A$2:$A$79)</f>
        <v>0.153846153846154</v>
      </c>
      <c r="F7" s="33" t="s">
        <v>25</v>
      </c>
      <c r="G7" s="34" t="s">
        <v>86</v>
      </c>
      <c r="H7" s="34" t="s">
        <v>87</v>
      </c>
    </row>
    <row r="8" customFormat="false" ht="43.5" hidden="false" customHeight="true" outlineLevel="0" collapsed="false">
      <c r="A8" s="33" t="n">
        <v>4</v>
      </c>
      <c r="B8" s="34" t="s">
        <v>88</v>
      </c>
      <c r="C8" s="34" t="s">
        <v>14</v>
      </c>
      <c r="D8" s="35" t="n">
        <f aca="false">COUNTBLANK(Outreach_Data!$C$2:$C$79)</f>
        <v>3</v>
      </c>
      <c r="E8" s="36" t="n">
        <f aca="false">D8/COUNTA(Outreach_Data!$A$2:$A$79)</f>
        <v>0.0384615384615385</v>
      </c>
      <c r="F8" s="33" t="s">
        <v>23</v>
      </c>
      <c r="G8" s="34" t="s">
        <v>89</v>
      </c>
      <c r="H8" s="34" t="s">
        <v>90</v>
      </c>
    </row>
    <row r="9" customFormat="false" ht="43.5" hidden="false" customHeight="true" outlineLevel="0" collapsed="false">
      <c r="A9" s="33" t="n">
        <v>5</v>
      </c>
      <c r="B9" s="34" t="s">
        <v>91</v>
      </c>
      <c r="C9" s="34" t="s">
        <v>14</v>
      </c>
      <c r="D9" s="35" t="n">
        <f aca="false">SUMPRODUCT((Outreach_Data!$C$2:$C$79&lt;&gt;"")*(1-EXACT(Outreach_Data!$C$2:$C$79,Outreach_Data!$R$2:$R$79)))</f>
        <v>9</v>
      </c>
      <c r="E9" s="36" t="n">
        <f aca="false">D9/COUNTA(Outreach_Data!$A$2:$A$79)</f>
        <v>0.115384615384615</v>
      </c>
      <c r="F9" s="33" t="s">
        <v>25</v>
      </c>
      <c r="G9" s="34" t="s">
        <v>92</v>
      </c>
      <c r="H9" s="34" t="s">
        <v>93</v>
      </c>
    </row>
    <row r="10" customFormat="false" ht="43.5" hidden="false" customHeight="true" outlineLevel="0" collapsed="false">
      <c r="A10" s="33" t="n">
        <v>6</v>
      </c>
      <c r="B10" s="34" t="s">
        <v>94</v>
      </c>
      <c r="C10" s="34" t="s">
        <v>10</v>
      </c>
      <c r="D10" s="35" t="n">
        <f aca="false">COUNTBLANK(Outreach_Data!$M$2:$M$79)</f>
        <v>5</v>
      </c>
      <c r="E10" s="36" t="n">
        <f aca="false">D10/COUNTA(Outreach_Data!$A$2:$A$79)</f>
        <v>0.0641025641025641</v>
      </c>
      <c r="F10" s="33" t="s">
        <v>25</v>
      </c>
      <c r="G10" s="34" t="s">
        <v>95</v>
      </c>
      <c r="H10" s="34" t="s">
        <v>96</v>
      </c>
    </row>
    <row r="11" customFormat="false" ht="43.5" hidden="false" customHeight="true" outlineLevel="0" collapsed="false">
      <c r="A11" s="33" t="n">
        <v>7</v>
      </c>
      <c r="B11" s="34" t="s">
        <v>97</v>
      </c>
      <c r="C11" s="34" t="s">
        <v>10</v>
      </c>
      <c r="D11" s="35" t="n">
        <f aca="false">SUMPRODUCT((Outreach_Data!$M$2:$M$79&lt;&gt;"")*(1-EXACT(Outreach_Data!$M$2:$M$79,Outreach_Data!$T$2:$T$79)))</f>
        <v>8</v>
      </c>
      <c r="E11" s="36" t="n">
        <f aca="false">D11/COUNTA(Outreach_Data!$A$2:$A$79)</f>
        <v>0.102564102564103</v>
      </c>
      <c r="F11" s="33" t="s">
        <v>28</v>
      </c>
      <c r="G11" s="34" t="s">
        <v>98</v>
      </c>
      <c r="H11" s="34" t="s">
        <v>99</v>
      </c>
    </row>
    <row r="12" customFormat="false" ht="43.5" hidden="false" customHeight="true" outlineLevel="0" collapsed="false">
      <c r="A12" s="33" t="n">
        <v>8</v>
      </c>
      <c r="B12" s="34" t="s">
        <v>100</v>
      </c>
      <c r="C12" s="34" t="s">
        <v>42</v>
      </c>
      <c r="D12" s="35" t="n">
        <f aca="false">COUNTBLANK(Outreach_Data!$I$2:$I$79)</f>
        <v>7</v>
      </c>
      <c r="E12" s="36" t="n">
        <f aca="false">D12/COUNTA(Outreach_Data!$A$2:$A$79)</f>
        <v>0.0897435897435897</v>
      </c>
      <c r="F12" s="33" t="s">
        <v>23</v>
      </c>
      <c r="G12" s="34" t="s">
        <v>101</v>
      </c>
      <c r="H12" s="34" t="s">
        <v>102</v>
      </c>
    </row>
    <row r="13" customFormat="false" ht="43.5" hidden="false" customHeight="true" outlineLevel="0" collapsed="false">
      <c r="A13" s="33" t="n">
        <v>9</v>
      </c>
      <c r="B13" s="34" t="s">
        <v>103</v>
      </c>
      <c r="C13" s="34" t="s">
        <v>64</v>
      </c>
      <c r="D13" s="35" t="n">
        <f aca="false">COUNTBLANK(Outreach_Data!$D$2:$D$79)</f>
        <v>3</v>
      </c>
      <c r="E13" s="36" t="n">
        <f aca="false">D13/COUNTA(Outreach_Data!$A$2:$A$79)</f>
        <v>0.0384615384615385</v>
      </c>
      <c r="F13" s="33" t="s">
        <v>25</v>
      </c>
      <c r="G13" s="34" t="s">
        <v>104</v>
      </c>
      <c r="H13" s="34" t="s">
        <v>105</v>
      </c>
    </row>
    <row r="14" customFormat="false" ht="43.5" hidden="false" customHeight="true" outlineLevel="0" collapsed="false">
      <c r="A14" s="33" t="n">
        <v>10</v>
      </c>
      <c r="B14" s="34" t="s">
        <v>106</v>
      </c>
      <c r="C14" s="34" t="s">
        <v>107</v>
      </c>
      <c r="D14" s="35" t="n">
        <f aca="false">COUNTBLANK(Outreach_Data!$F$2:$F$79)</f>
        <v>6</v>
      </c>
      <c r="E14" s="36" t="n">
        <f aca="false">D14/COUNTA(Outreach_Data!$A$2:$A$79)</f>
        <v>0.0769230769230769</v>
      </c>
      <c r="F14" s="33" t="s">
        <v>25</v>
      </c>
      <c r="G14" s="34" t="s">
        <v>108</v>
      </c>
      <c r="H14" s="34" t="s">
        <v>109</v>
      </c>
    </row>
    <row r="15" customFormat="false" ht="43.5" hidden="false" customHeight="true" outlineLevel="0" collapsed="false">
      <c r="A15" s="33" t="n">
        <v>11</v>
      </c>
      <c r="B15" s="34" t="s">
        <v>110</v>
      </c>
      <c r="C15" s="34" t="s">
        <v>107</v>
      </c>
      <c r="D15" s="35" t="n">
        <f aca="false">SUMPRODUCT(--(Outreach_Data!$F$2:$F$79&lt;&gt;""),--ISERROR(FIND("@",Outreach_Data!$F$2:$F$79)))</f>
        <v>4</v>
      </c>
      <c r="E15" s="36" t="n">
        <f aca="false">D15/COUNTA(Outreach_Data!$A$2:$A$79)</f>
        <v>0.0512820512820513</v>
      </c>
      <c r="F15" s="33" t="s">
        <v>25</v>
      </c>
      <c r="G15" s="34" t="s">
        <v>111</v>
      </c>
      <c r="H15" s="34" t="s">
        <v>112</v>
      </c>
    </row>
    <row r="16" customFormat="false" ht="43.5" hidden="false" customHeight="true" outlineLevel="0" collapsed="false">
      <c r="A16" s="33" t="n">
        <v>12</v>
      </c>
      <c r="B16" s="34" t="s">
        <v>113</v>
      </c>
      <c r="C16" s="34" t="s">
        <v>114</v>
      </c>
      <c r="D16" s="35" t="n">
        <f aca="false">COUNTBLANK(Outreach_Data!$G$2:$G$79)</f>
        <v>6</v>
      </c>
      <c r="E16" s="36" t="n">
        <f aca="false">D16/COUNTA(Outreach_Data!$A$2:$A$79)</f>
        <v>0.0769230769230769</v>
      </c>
      <c r="F16" s="33" t="s">
        <v>28</v>
      </c>
      <c r="G16" s="34" t="s">
        <v>115</v>
      </c>
      <c r="H16" s="34" t="s">
        <v>116</v>
      </c>
    </row>
    <row r="17" customFormat="false" ht="43.5" hidden="false" customHeight="true" outlineLevel="0" collapsed="false">
      <c r="A17" s="33" t="n">
        <v>13</v>
      </c>
      <c r="B17" s="34" t="s">
        <v>117</v>
      </c>
      <c r="C17" s="34" t="s">
        <v>114</v>
      </c>
      <c r="D17" s="35" t="n">
        <f aca="false">SUMPRODUCT((Outreach_Data!$G$2:$G$79&lt;&gt;"")*(LEFT(Outreach_Data!$G$2:$G$79,1)&lt;&gt;"+"))</f>
        <v>9</v>
      </c>
      <c r="E17" s="36" t="n">
        <f aca="false">D17/COUNTA(Outreach_Data!$A$2:$A$79)</f>
        <v>0.115384615384615</v>
      </c>
      <c r="F17" s="33" t="s">
        <v>28</v>
      </c>
      <c r="G17" s="34" t="s">
        <v>118</v>
      </c>
      <c r="H17" s="34" t="s">
        <v>119</v>
      </c>
    </row>
    <row r="18" customFormat="false" ht="43.5" hidden="false" customHeight="true" outlineLevel="0" collapsed="false">
      <c r="A18" s="33" t="n">
        <v>14</v>
      </c>
      <c r="B18" s="34" t="s">
        <v>120</v>
      </c>
      <c r="C18" s="34" t="s">
        <v>121</v>
      </c>
      <c r="D18" s="35" t="n">
        <f aca="false">SUMPRODUCT(--((ISTEXT(Outreach_Data!$J$2:$J$79)+ISTEXT(Outreach_Data!$K$2:$K$79)+ISTEXT(Outreach_Data!$P$2:$P$79))&gt;0))</f>
        <v>5</v>
      </c>
      <c r="E18" s="36" t="n">
        <f aca="false">D18/COUNTA(Outreach_Data!$A$2:$A$79)</f>
        <v>0.0641025641025641</v>
      </c>
      <c r="F18" s="33" t="s">
        <v>23</v>
      </c>
      <c r="G18" s="34" t="s">
        <v>122</v>
      </c>
      <c r="H18" s="34" t="s">
        <v>123</v>
      </c>
    </row>
    <row r="19" customFormat="false" ht="43.5" hidden="false" customHeight="true" outlineLevel="0" collapsed="false">
      <c r="A19" s="33" t="n">
        <v>15</v>
      </c>
      <c r="B19" s="34" t="s">
        <v>124</v>
      </c>
      <c r="C19" s="34" t="s">
        <v>125</v>
      </c>
      <c r="D19" s="35" t="n">
        <f aca="false">SUMPRODUCT(ISNUMBER(Outreach_Data!$J$2:$J$79)*ISNUMBER(Outreach_Data!$K$2:$K$79)*(Outreach_Data!$K$2:$K$79&lt;Outreach_Data!$J$2:$J$79))</f>
        <v>4</v>
      </c>
      <c r="E19" s="36" t="n">
        <f aca="false">D19/COUNTA(Outreach_Data!$A$2:$A$79)</f>
        <v>0.0512820512820513</v>
      </c>
      <c r="F19" s="33" t="s">
        <v>23</v>
      </c>
      <c r="G19" s="34" t="s">
        <v>126</v>
      </c>
      <c r="H19" s="34" t="s">
        <v>127</v>
      </c>
    </row>
    <row r="20" customFormat="false" ht="43.5" hidden="false" customHeight="true" outlineLevel="0" collapsed="false">
      <c r="A20" s="33" t="n">
        <v>16</v>
      </c>
      <c r="B20" s="34" t="s">
        <v>128</v>
      </c>
      <c r="C20" s="34" t="s">
        <v>129</v>
      </c>
      <c r="D20" s="35" t="n">
        <f aca="false">COUNTIF(Outreach_Data!$K$2:$K$79,"&gt;"&amp;Lists!$K$2)</f>
        <v>2</v>
      </c>
      <c r="E20" s="36" t="n">
        <f aca="false">D20/COUNTA(Outreach_Data!$A$2:$A$79)</f>
        <v>0.0256410256410256</v>
      </c>
      <c r="F20" s="33" t="s">
        <v>23</v>
      </c>
      <c r="G20" s="34" t="s">
        <v>130</v>
      </c>
      <c r="H20" s="34" t="s">
        <v>131</v>
      </c>
    </row>
    <row r="21" customFormat="false" ht="43.5" hidden="false" customHeight="true" outlineLevel="0" collapsed="false">
      <c r="A21" s="33" t="n">
        <v>17</v>
      </c>
      <c r="B21" s="34" t="s">
        <v>132</v>
      </c>
      <c r="C21" s="34" t="s">
        <v>133</v>
      </c>
      <c r="D21" s="35" t="n">
        <f aca="false">SUMPRODUCT((Outreach_Data!$S$2:$S$79&lt;&gt;"Not Started")*(Outreach_Data!$S$2:$S$79&lt;&gt;"Not Recorded")*(Outreach_Data!$K$2:$K$79=""))</f>
        <v>3</v>
      </c>
      <c r="E21" s="36" t="n">
        <f aca="false">D21/COUNTA(Outreach_Data!$A$2:$A$79)</f>
        <v>0.0384615384615385</v>
      </c>
      <c r="F21" s="33" t="s">
        <v>23</v>
      </c>
      <c r="G21" s="34" t="s">
        <v>134</v>
      </c>
      <c r="H21" s="34" t="s">
        <v>135</v>
      </c>
    </row>
    <row r="22" customFormat="false" ht="43.5" hidden="false" customHeight="true" outlineLevel="0" collapsed="false">
      <c r="A22" s="33" t="n">
        <v>18</v>
      </c>
      <c r="B22" s="34" t="s">
        <v>136</v>
      </c>
      <c r="C22" s="34" t="s">
        <v>137</v>
      </c>
      <c r="D22" s="35" t="n">
        <f aca="false">SUMPRODUCT((Outreach_Data!$S$2:$S$79="Not Started")*(Outreach_Data!$N$2:$N$79&gt;0))+SUMPRODUCT((Outreach_Data!$S$2:$S$79&lt;&gt;"Not Started")*(Outreach_Data!$S$2:$S$79&lt;&gt;"Not Recorded")*(Outreach_Data!$N$2:$N$79=0))</f>
        <v>4</v>
      </c>
      <c r="E22" s="36" t="n">
        <f aca="false">D22/COUNTA(Outreach_Data!$A$2:$A$79)</f>
        <v>0.0512820512820513</v>
      </c>
      <c r="F22" s="33" t="s">
        <v>25</v>
      </c>
      <c r="G22" s="34" t="s">
        <v>138</v>
      </c>
      <c r="H22" s="34" t="s">
        <v>139</v>
      </c>
    </row>
    <row r="23" customFormat="false" ht="43.5" hidden="false" customHeight="true" outlineLevel="0" collapsed="false">
      <c r="A23" s="33" t="n">
        <v>19</v>
      </c>
      <c r="B23" s="34" t="s">
        <v>140</v>
      </c>
      <c r="C23" s="34" t="s">
        <v>141</v>
      </c>
      <c r="D23" s="35" t="n">
        <f aca="false">SUMPRODUCT((Outreach_Data!$S$2:$S$79="Partnership Active")*(((Outreach_Data!$T$2:$T$79="Low")+(Outreach_Data!$T$2:$T$79="None"))&gt;0))</f>
        <v>2</v>
      </c>
      <c r="E23" s="36" t="n">
        <f aca="false">D23/COUNTA(Outreach_Data!$A$2:$A$79)</f>
        <v>0.0256410256410256</v>
      </c>
      <c r="F23" s="33" t="s">
        <v>25</v>
      </c>
      <c r="G23" s="34" t="s">
        <v>142</v>
      </c>
      <c r="H23" s="34" t="s">
        <v>143</v>
      </c>
    </row>
    <row r="24" customFormat="false" ht="43.5" hidden="false" customHeight="true" outlineLevel="0" collapsed="false">
      <c r="A24" s="33" t="n">
        <v>20</v>
      </c>
      <c r="B24" s="34" t="s">
        <v>144</v>
      </c>
      <c r="C24" s="34" t="s">
        <v>145</v>
      </c>
      <c r="D24" s="35" t="n">
        <f aca="false">COUNTBLANK(Outreach_Data!$P$2:$P$79)</f>
        <v>5</v>
      </c>
      <c r="E24" s="36" t="n">
        <f aca="false">D24/COUNTA(Outreach_Data!$A$2:$A$79)</f>
        <v>0.0641025641025641</v>
      </c>
      <c r="F24" s="33" t="s">
        <v>25</v>
      </c>
      <c r="G24" s="34" t="s">
        <v>146</v>
      </c>
      <c r="H24" s="34" t="s">
        <v>147</v>
      </c>
    </row>
    <row r="25" customFormat="false" ht="43.5" hidden="false" customHeight="true" outlineLevel="0" collapsed="false">
      <c r="A25" s="33" t="n">
        <v>21</v>
      </c>
      <c r="B25" s="34" t="s">
        <v>148</v>
      </c>
      <c r="C25" s="34" t="s">
        <v>149</v>
      </c>
      <c r="D25" s="35" t="n">
        <f aca="false">COUNTIF(Outreach_Data!$N$2:$N$79,"&gt;20")</f>
        <v>1</v>
      </c>
      <c r="E25" s="36" t="n">
        <f aca="false">D25/COUNTA(Outreach_Data!$A$2:$A$79)</f>
        <v>0.0128205128205128</v>
      </c>
      <c r="F25" s="33" t="s">
        <v>28</v>
      </c>
      <c r="G25" s="34" t="s">
        <v>150</v>
      </c>
      <c r="H25" s="34" t="s">
        <v>151</v>
      </c>
    </row>
    <row r="27" customFormat="false" ht="15" hidden="false" customHeight="false" outlineLevel="0" collapsed="false">
      <c r="A27" s="37" t="s">
        <v>152</v>
      </c>
    </row>
    <row r="28" customFormat="false" ht="15" hidden="false" customHeight="false" outlineLevel="0" collapsed="false">
      <c r="B28" s="38" t="s">
        <v>153</v>
      </c>
      <c r="C28" s="38"/>
      <c r="D28" s="39" t="n">
        <f aca="false">COUNTA(Outreach_Data!$A$2:$A$79)</f>
        <v>78</v>
      </c>
    </row>
    <row r="29" customFormat="false" ht="15" hidden="false" customHeight="false" outlineLevel="0" collapsed="false">
      <c r="B29" s="38" t="s">
        <v>154</v>
      </c>
      <c r="C29" s="38"/>
      <c r="D29" s="39" t="n">
        <f aca="false">COUNTIF(Outreach_Data!$Y$2:$Y$79,"&gt;0")</f>
        <v>49</v>
      </c>
    </row>
    <row r="30" customFormat="false" ht="15" hidden="false" customHeight="false" outlineLevel="0" collapsed="false">
      <c r="B30" s="38" t="s">
        <v>155</v>
      </c>
      <c r="C30" s="38"/>
      <c r="D30" s="40" t="n">
        <f aca="false">COUNTIF(Outreach_Data!$Y$2:$Y$79,"&gt;0")/COUNTA(Outreach_Data!$A$2:$A$79)</f>
        <v>0.628205128205128</v>
      </c>
    </row>
    <row r="31" customFormat="false" ht="15" hidden="false" customHeight="false" outlineLevel="0" collapsed="false">
      <c r="B31" s="38" t="s">
        <v>156</v>
      </c>
      <c r="C31" s="38"/>
      <c r="D31" s="39" t="n">
        <f aca="false">SUM(Outreach_Data!$Y$2:$Y$79)</f>
        <v>79</v>
      </c>
    </row>
    <row r="32" customFormat="false" ht="15" hidden="false" customHeight="false" outlineLevel="0" collapsed="false">
      <c r="B32" s="38" t="s">
        <v>157</v>
      </c>
      <c r="C32" s="38"/>
      <c r="D32" s="39" t="str">
        <f aca="false">COUNTIF(D5:D25,"&gt;0")&amp;" of "&amp;ROWS(D5:D25)</f>
        <v>21 of 21</v>
      </c>
    </row>
    <row r="35" customFormat="false" ht="15" hidden="false" customHeight="false" outlineLevel="0" collapsed="false">
      <c r="A35" s="37" t="s">
        <v>158</v>
      </c>
    </row>
    <row r="36" customFormat="false" ht="30" hidden="false" customHeight="true" outlineLevel="0" collapsed="false">
      <c r="A36" s="41" t="s">
        <v>159</v>
      </c>
      <c r="B36" s="41"/>
      <c r="C36" s="41"/>
      <c r="D36" s="41"/>
      <c r="E36" s="41"/>
      <c r="F36" s="41"/>
      <c r="G36" s="41"/>
      <c r="H36" s="41"/>
    </row>
    <row r="37" customFormat="false" ht="30" hidden="false" customHeight="true" outlineLevel="0" collapsed="false">
      <c r="A37" s="41" t="s">
        <v>160</v>
      </c>
      <c r="B37" s="41"/>
      <c r="C37" s="41"/>
      <c r="D37" s="41"/>
      <c r="E37" s="41"/>
      <c r="F37" s="41"/>
      <c r="G37" s="41"/>
      <c r="H37" s="41"/>
    </row>
    <row r="38" customFormat="false" ht="30" hidden="false" customHeight="true" outlineLevel="0" collapsed="false">
      <c r="A38" s="41" t="s">
        <v>161</v>
      </c>
      <c r="B38" s="41"/>
      <c r="C38" s="41"/>
      <c r="D38" s="41"/>
      <c r="E38" s="41"/>
      <c r="F38" s="41"/>
      <c r="G38" s="41"/>
      <c r="H38" s="41"/>
    </row>
    <row r="39" customFormat="false" ht="30" hidden="false" customHeight="true" outlineLevel="0" collapsed="false">
      <c r="A39" s="41" t="s">
        <v>162</v>
      </c>
      <c r="B39" s="41"/>
      <c r="C39" s="41"/>
      <c r="D39" s="41"/>
      <c r="E39" s="41"/>
      <c r="F39" s="41"/>
      <c r="G39" s="41"/>
      <c r="H39" s="41"/>
    </row>
    <row r="40" customFormat="false" ht="30" hidden="false" customHeight="true" outlineLevel="0" collapsed="false">
      <c r="A40" s="41" t="s">
        <v>163</v>
      </c>
      <c r="B40" s="41"/>
      <c r="C40" s="41"/>
      <c r="D40" s="41"/>
      <c r="E40" s="41"/>
      <c r="F40" s="41"/>
      <c r="G40" s="41"/>
      <c r="H40" s="41"/>
    </row>
    <row r="41" customFormat="false" ht="30" hidden="false" customHeight="true" outlineLevel="0" collapsed="false">
      <c r="A41" s="41" t="s">
        <v>164</v>
      </c>
      <c r="B41" s="41"/>
      <c r="C41" s="41"/>
      <c r="D41" s="41"/>
      <c r="E41" s="41"/>
      <c r="F41" s="41"/>
      <c r="G41" s="41"/>
      <c r="H41" s="41"/>
    </row>
  </sheetData>
  <mergeCells count="13">
    <mergeCell ref="A1:H1"/>
    <mergeCell ref="A2:H2"/>
    <mergeCell ref="B28:C28"/>
    <mergeCell ref="B29:C29"/>
    <mergeCell ref="B30:C30"/>
    <mergeCell ref="B31:C31"/>
    <mergeCell ref="B32:C32"/>
    <mergeCell ref="A36:H36"/>
    <mergeCell ref="A37:H37"/>
    <mergeCell ref="A38:H38"/>
    <mergeCell ref="A39:H39"/>
    <mergeCell ref="A40:H40"/>
    <mergeCell ref="A41:H41"/>
  </mergeCells>
  <conditionalFormatting sqref="F5:F25">
    <cfRule type="cellIs" priority="2" operator="equal" aboveAverage="0" equalAverage="0" bottom="0" percent="0" rank="0" text="" dxfId="1">
      <formula>"High"</formula>
    </cfRule>
    <cfRule type="cellIs" priority="3" operator="equal" aboveAverage="0" equalAverage="0" bottom="0" percent="0" rank="0" text="" dxfId="2">
      <formula>"Medium"</formula>
    </cfRule>
    <cfRule type="cellIs" priority="4" operator="equal" aboveAverage="0" equalAverage="0" bottom="0" percent="0" rank="0" text="" dxfId="3">
      <formula>"Low"</formula>
    </cfRule>
  </conditionalFormatting>
  <conditionalFormatting sqref="D5:D25">
    <cfRule type="cellIs" priority="5" operator="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34"/>
    <col collapsed="false" customWidth="true" hidden="false" outlineLevel="0" max="16" min="16" style="0" width="14"/>
    <col collapsed="false" customWidth="true" hidden="false" outlineLevel="0" max="17" min="17" style="0" width="28"/>
    <col collapsed="false" customWidth="true" hidden="false" outlineLevel="0" max="18" min="18" style="0" width="13"/>
    <col collapsed="false" customWidth="true" hidden="false" outlineLevel="0" max="19" min="19" style="0" width="18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1"/>
    <col collapsed="false" customWidth="true" hidden="false" outlineLevel="0" max="25" min="23" style="0" width="10"/>
    <col collapsed="false" customWidth="true" hidden="false" outlineLevel="0" max="26" min="26" style="0" width="11"/>
    <col collapsed="false" customWidth="true" hidden="false" outlineLevel="0" max="27" min="27" style="0" width="10"/>
    <col collapsed="false" customWidth="true" hidden="false" outlineLevel="0" max="28" min="28" style="0" width="12"/>
  </cols>
  <sheetData>
    <row r="1" customFormat="false" ht="31.5" hidden="false" customHeight="true" outlineLevel="0" collapsed="false">
      <c r="A1" s="42" t="s">
        <v>165</v>
      </c>
      <c r="B1" s="42" t="s">
        <v>79</v>
      </c>
      <c r="C1" s="42" t="s">
        <v>14</v>
      </c>
      <c r="D1" s="42" t="s">
        <v>64</v>
      </c>
      <c r="E1" s="42" t="s">
        <v>166</v>
      </c>
      <c r="F1" s="42" t="s">
        <v>107</v>
      </c>
      <c r="G1" s="42" t="s">
        <v>114</v>
      </c>
      <c r="H1" s="42" t="s">
        <v>167</v>
      </c>
      <c r="I1" s="42" t="s">
        <v>42</v>
      </c>
      <c r="J1" s="42" t="s">
        <v>168</v>
      </c>
      <c r="K1" s="42" t="s">
        <v>129</v>
      </c>
      <c r="L1" s="42" t="s">
        <v>11</v>
      </c>
      <c r="M1" s="42" t="s">
        <v>10</v>
      </c>
      <c r="N1" s="42" t="s">
        <v>149</v>
      </c>
      <c r="O1" s="42" t="s">
        <v>63</v>
      </c>
      <c r="P1" s="42" t="s">
        <v>145</v>
      </c>
      <c r="Q1" s="42" t="s">
        <v>169</v>
      </c>
      <c r="R1" s="43" t="s">
        <v>170</v>
      </c>
      <c r="S1" s="43" t="s">
        <v>171</v>
      </c>
      <c r="T1" s="43" t="s">
        <v>172</v>
      </c>
      <c r="U1" s="43" t="s">
        <v>173</v>
      </c>
      <c r="V1" s="43" t="s">
        <v>174</v>
      </c>
      <c r="W1" s="43" t="s">
        <v>62</v>
      </c>
      <c r="X1" s="43" t="s">
        <v>175</v>
      </c>
      <c r="Y1" s="43" t="s">
        <v>176</v>
      </c>
      <c r="Z1" s="43" t="s">
        <v>177</v>
      </c>
      <c r="AA1" s="43" t="s">
        <v>178</v>
      </c>
      <c r="AB1" s="43" t="s">
        <v>179</v>
      </c>
    </row>
    <row r="2" customFormat="false" ht="15" hidden="false" customHeight="false" outlineLevel="0" collapsed="false">
      <c r="A2" s="38" t="s">
        <v>180</v>
      </c>
      <c r="B2" s="38" t="s">
        <v>181</v>
      </c>
      <c r="C2" s="38" t="s">
        <v>33</v>
      </c>
      <c r="D2" s="38" t="s">
        <v>182</v>
      </c>
      <c r="E2" s="38" t="s">
        <v>183</v>
      </c>
      <c r="F2" s="38" t="s">
        <v>184</v>
      </c>
      <c r="G2" s="38" t="s">
        <v>185</v>
      </c>
      <c r="H2" s="38" t="s">
        <v>107</v>
      </c>
      <c r="I2" s="38" t="s">
        <v>44</v>
      </c>
      <c r="J2" s="38"/>
      <c r="K2" s="38"/>
      <c r="L2" s="38" t="s">
        <v>21</v>
      </c>
      <c r="M2" s="38" t="s">
        <v>31</v>
      </c>
      <c r="N2" s="38" t="n">
        <v>0</v>
      </c>
      <c r="O2" s="38" t="s">
        <v>186</v>
      </c>
      <c r="P2" s="44" t="n">
        <v>46314</v>
      </c>
      <c r="Q2" s="38" t="s">
        <v>187</v>
      </c>
      <c r="R2" s="45" t="str">
        <f aca="false">IF(TRIM(C2)="","Not Recorded",IFERROR(INDEX(Lists!$B$2:$B$60,MATCH(TRIM(C2),Lists!$A$2:$A$60,0)),"Not Recorded"))</f>
        <v>Americas</v>
      </c>
      <c r="S2" s="45" t="str">
        <f aca="false">IF(TRIM(L2)="","Not Recorded",IFERROR(INDEX(Lists!$E$2:$E$60,MATCH(TRIM(L2),Lists!$D$2:$D$60,0)),"Not Recorded"))</f>
        <v>Not Started</v>
      </c>
      <c r="T2" s="45" t="str">
        <f aca="false">IF(TRIM(M2)="","Not Recorded",IFERROR(INDEX(Lists!$H$2:$H$60,MATCH(TRIM(M2),Lists!$G$2:$G$60,0)),"Not Recorded"))</f>
        <v>None</v>
      </c>
      <c r="U2" s="45" t="str">
        <f aca="false">IF(ISNUMBER(K2),Lists!$K$2-K2,"")</f>
        <v/>
      </c>
      <c r="V2" s="46" t="n">
        <f aca="false">IF(AND(ISNUMBER(P2),P2&lt;Lists!$K$2,S2&lt;&gt;"On Hold"),1,0)</f>
        <v>0</v>
      </c>
      <c r="W2" s="45" t="n">
        <f aca="false">IF(V2=1,Lists!$K$2-P2,0)</f>
        <v>0</v>
      </c>
      <c r="X2" s="45" t="n">
        <f aca="false">IF(AND(ISNUMBER(K2),S2&lt;&gt;"On Hold"),IF(Lists!$K$2-K2&gt;Lists!$K$3,1,0),0)</f>
        <v>0</v>
      </c>
      <c r="Y2" s="46" t="n">
        <f aca="false">(F2="")+IF(F2="",0,ISERROR(FIND("@",F2))*1)+(D2="")+(I2="")+(R2="Not Recorded")+(S2="Not Recorded")+(T2="Not Recorded")+((ISTEXT(J2)+ISTEXT(K2)+ISTEXT(P2))&gt;0)+IF(AND(ISNUMBER(J2),ISNUMBER(K2)),(K2&lt;J2)*1,0)+IF(ISNUMBER(K2),(K2&gt;Lists!$K$2)*1,0)+(COUNTIF($B$2:$B$79,B2)&gt;1)+IF(S2="Not Started",(N2&gt;0)*1,IF(S2="Not Recorded",0,(N2=0)*1))+IF(AND(S2&lt;&gt;"Not Started",S2&lt;&gt;"Not Recorded"),(K2="")*1,0)+(P2="")+(G2="")+IF(G2="",0,(LEFT(G2,1)&lt;&gt;"+")*1)</f>
        <v>1</v>
      </c>
      <c r="Z2" s="47" t="n">
        <f aca="false">IF(V2=1,W2+ROW()/100000,0)</f>
        <v>0</v>
      </c>
      <c r="AA2" s="45" t="n">
        <f aca="false">IF(OR(S2="In Discussion",S2="Meeting Scheduled",S2="Partnership Active"),1,0)</f>
        <v>0</v>
      </c>
      <c r="AB2" s="45" t="n">
        <f aca="false">IF(AND(S2&lt;&gt;"Not Started",S2&lt;&gt;"Not Recorded"),1,0)</f>
        <v>0</v>
      </c>
    </row>
    <row r="3" customFormat="false" ht="15" hidden="false" customHeight="false" outlineLevel="0" collapsed="false">
      <c r="A3" s="38" t="s">
        <v>188</v>
      </c>
      <c r="B3" s="38" t="s">
        <v>189</v>
      </c>
      <c r="C3" s="38" t="s">
        <v>24</v>
      </c>
      <c r="D3" s="38"/>
      <c r="E3" s="38" t="s">
        <v>190</v>
      </c>
      <c r="F3" s="38" t="s">
        <v>191</v>
      </c>
      <c r="G3" s="38" t="s">
        <v>192</v>
      </c>
      <c r="H3" s="38" t="s">
        <v>114</v>
      </c>
      <c r="I3" s="38" t="s">
        <v>54</v>
      </c>
      <c r="J3" s="44" t="n">
        <v>46168</v>
      </c>
      <c r="K3" s="44" t="n">
        <v>46211</v>
      </c>
      <c r="L3" s="38" t="s">
        <v>26</v>
      </c>
      <c r="M3" s="38" t="s">
        <v>193</v>
      </c>
      <c r="N3" s="38" t="n">
        <v>2</v>
      </c>
      <c r="O3" s="38" t="s">
        <v>194</v>
      </c>
      <c r="P3" s="44" t="n">
        <v>46240</v>
      </c>
      <c r="Q3" s="38"/>
      <c r="R3" s="45" t="str">
        <f aca="false">IF(TRIM(C3)="","Not Recorded",IFERROR(INDEX(Lists!$B$2:$B$60,MATCH(TRIM(C3),Lists!$A$2:$A$60,0)),"Not Recorded"))</f>
        <v>Asia-Pacific</v>
      </c>
      <c r="S3" s="45" t="str">
        <f aca="false">IF(TRIM(L3)="","Not Recorded",IFERROR(INDEX(Lists!$E$2:$E$60,MATCH(TRIM(L3),Lists!$D$2:$D$60,0)),"Not Recorded"))</f>
        <v>No Response</v>
      </c>
      <c r="T3" s="45" t="str">
        <f aca="false">IF(TRIM(M3)="","Not Recorded",IFERROR(INDEX(Lists!$H$2:$H$60,MATCH(TRIM(M3),Lists!$G$2:$G$60,0)),"Not Recorded"))</f>
        <v>Low</v>
      </c>
      <c r="U3" s="45" t="n">
        <f aca="false">IF(ISNUMBER(K3),Lists!$K$2-K3,"")</f>
        <v>90</v>
      </c>
      <c r="V3" s="46" t="n">
        <f aca="false">IF(AND(ISNUMBER(P3),P3&lt;Lists!$K$2,S3&lt;&gt;"On Hold"),1,0)</f>
        <v>1</v>
      </c>
      <c r="W3" s="45" t="n">
        <f aca="false">IF(V3=1,Lists!$K$2-P3,0)</f>
        <v>61</v>
      </c>
      <c r="X3" s="45" t="n">
        <f aca="false">IF(AND(ISNUMBER(K3),S3&lt;&gt;"On Hold"),IF(Lists!$K$2-K3&gt;Lists!$K$3,1,0),0)</f>
        <v>1</v>
      </c>
      <c r="Y3" s="46" t="n">
        <f aca="false">(F3="")+IF(F3="",0,ISERROR(FIND("@",F3))*1)+(D3="")+(I3="")+(R3="Not Recorded")+(S3="Not Recorded")+(T3="Not Recorded")+((ISTEXT(J3)+ISTEXT(K3)+ISTEXT(P3))&gt;0)+IF(AND(ISNUMBER(J3),ISNUMBER(K3)),(K3&lt;J3)*1,0)+IF(ISNUMBER(K3),(K3&gt;Lists!$K$2)*1,0)+(COUNTIF($B$2:$B$79,B3)&gt;1)+IF(S3="Not Started",(N3&gt;0)*1,IF(S3="Not Recorded",0,(N3=0)*1))+IF(AND(S3&lt;&gt;"Not Started",S3&lt;&gt;"Not Recorded"),(K3="")*1,0)+(P3="")+(G3="")+IF(G3="",0,(LEFT(G3,1)&lt;&gt;"+")*1)</f>
        <v>1</v>
      </c>
      <c r="Z3" s="47" t="n">
        <f aca="false">IF(V3=1,W3+ROW()/100000,0)</f>
        <v>61.00003</v>
      </c>
      <c r="AA3" s="45" t="n">
        <f aca="false">IF(OR(S3="In Discussion",S3="Meeting Scheduled",S3="Partnership Active"),1,0)</f>
        <v>0</v>
      </c>
      <c r="AB3" s="45" t="n">
        <f aca="false">IF(AND(S3&lt;&gt;"Not Started",S3&lt;&gt;"Not Recorded"),1,0)</f>
        <v>1</v>
      </c>
    </row>
    <row r="4" customFormat="false" ht="15" hidden="false" customHeight="false" outlineLevel="0" collapsed="false">
      <c r="A4" s="38" t="s">
        <v>195</v>
      </c>
      <c r="B4" s="38" t="s">
        <v>196</v>
      </c>
      <c r="C4" s="38" t="s">
        <v>33</v>
      </c>
      <c r="D4" s="38" t="s">
        <v>197</v>
      </c>
      <c r="E4" s="38" t="s">
        <v>198</v>
      </c>
      <c r="F4" s="38" t="s">
        <v>199</v>
      </c>
      <c r="G4" s="38" t="s">
        <v>200</v>
      </c>
      <c r="H4" s="38" t="s">
        <v>107</v>
      </c>
      <c r="I4" s="38" t="s">
        <v>54</v>
      </c>
      <c r="J4" s="38"/>
      <c r="K4" s="38"/>
      <c r="L4" s="38" t="s">
        <v>21</v>
      </c>
      <c r="M4" s="38" t="s">
        <v>31</v>
      </c>
      <c r="N4" s="38" t="n">
        <v>0</v>
      </c>
      <c r="O4" s="38" t="s">
        <v>186</v>
      </c>
      <c r="P4" s="44" t="n">
        <v>46313</v>
      </c>
      <c r="Q4" s="38" t="s">
        <v>187</v>
      </c>
      <c r="R4" s="45" t="str">
        <f aca="false">IF(TRIM(C4)="","Not Recorded",IFERROR(INDEX(Lists!$B$2:$B$60,MATCH(TRIM(C4),Lists!$A$2:$A$60,0)),"Not Recorded"))</f>
        <v>Americas</v>
      </c>
      <c r="S4" s="45" t="str">
        <f aca="false">IF(TRIM(L4)="","Not Recorded",IFERROR(INDEX(Lists!$E$2:$E$60,MATCH(TRIM(L4),Lists!$D$2:$D$60,0)),"Not Recorded"))</f>
        <v>Not Started</v>
      </c>
      <c r="T4" s="45" t="str">
        <f aca="false">IF(TRIM(M4)="","Not Recorded",IFERROR(INDEX(Lists!$H$2:$H$60,MATCH(TRIM(M4),Lists!$G$2:$G$60,0)),"Not Recorded"))</f>
        <v>None</v>
      </c>
      <c r="U4" s="45" t="str">
        <f aca="false">IF(ISNUMBER(K4),Lists!$K$2-K4,"")</f>
        <v/>
      </c>
      <c r="V4" s="46" t="n">
        <f aca="false">IF(AND(ISNUMBER(P4),P4&lt;Lists!$K$2,S4&lt;&gt;"On Hold"),1,0)</f>
        <v>0</v>
      </c>
      <c r="W4" s="45" t="n">
        <f aca="false">IF(V4=1,Lists!$K$2-P4,0)</f>
        <v>0</v>
      </c>
      <c r="X4" s="45" t="n">
        <f aca="false">IF(AND(ISNUMBER(K4),S4&lt;&gt;"On Hold"),IF(Lists!$K$2-K4&gt;Lists!$K$3,1,0),0)</f>
        <v>0</v>
      </c>
      <c r="Y4" s="46" t="n">
        <f aca="false">(F4="")+IF(F4="",0,ISERROR(FIND("@",F4))*1)+(D4="")+(I4="")+(R4="Not Recorded")+(S4="Not Recorded")+(T4="Not Recorded")+((ISTEXT(J4)+ISTEXT(K4)+ISTEXT(P4))&gt;0)+IF(AND(ISNUMBER(J4),ISNUMBER(K4)),(K4&lt;J4)*1,0)+IF(ISNUMBER(K4),(K4&gt;Lists!$K$2)*1,0)+(COUNTIF($B$2:$B$79,B4)&gt;1)+IF(S4="Not Started",(N4&gt;0)*1,IF(S4="Not Recorded",0,(N4=0)*1))+IF(AND(S4&lt;&gt;"Not Started",S4&lt;&gt;"Not Recorded"),(K4="")*1,0)+(P4="")+(G4="")+IF(G4="",0,(LEFT(G4,1)&lt;&gt;"+")*1)</f>
        <v>0</v>
      </c>
      <c r="Z4" s="47" t="n">
        <f aca="false">IF(V4=1,W4+ROW()/100000,0)</f>
        <v>0</v>
      </c>
      <c r="AA4" s="45" t="n">
        <f aca="false">IF(OR(S4="In Discussion",S4="Meeting Scheduled",S4="Partnership Active"),1,0)</f>
        <v>0</v>
      </c>
      <c r="AB4" s="45" t="n">
        <f aca="false">IF(AND(S4&lt;&gt;"Not Started",S4&lt;&gt;"Not Recorded"),1,0)</f>
        <v>0</v>
      </c>
    </row>
    <row r="5" customFormat="false" ht="15" hidden="false" customHeight="false" outlineLevel="0" collapsed="false">
      <c r="A5" s="38" t="s">
        <v>201</v>
      </c>
      <c r="B5" s="38" t="s">
        <v>202</v>
      </c>
      <c r="C5" s="38" t="s">
        <v>24</v>
      </c>
      <c r="D5" s="38" t="s">
        <v>203</v>
      </c>
      <c r="E5" s="38" t="s">
        <v>198</v>
      </c>
      <c r="F5" s="38" t="s">
        <v>204</v>
      </c>
      <c r="G5" s="38" t="s">
        <v>205</v>
      </c>
      <c r="H5" s="38" t="s">
        <v>114</v>
      </c>
      <c r="I5" s="38" t="s">
        <v>50</v>
      </c>
      <c r="J5" s="44" t="n">
        <v>46201</v>
      </c>
      <c r="K5" s="44" t="n">
        <v>46288</v>
      </c>
      <c r="L5" s="38" t="s">
        <v>206</v>
      </c>
      <c r="M5" s="38" t="s">
        <v>25</v>
      </c>
      <c r="N5" s="38" t="n">
        <v>8</v>
      </c>
      <c r="O5" s="38" t="s">
        <v>207</v>
      </c>
      <c r="P5" s="44" t="n">
        <v>46323</v>
      </c>
      <c r="Q5" s="38" t="s">
        <v>208</v>
      </c>
      <c r="R5" s="45" t="str">
        <f aca="false">IF(TRIM(C5)="","Not Recorded",IFERROR(INDEX(Lists!$B$2:$B$60,MATCH(TRIM(C5),Lists!$A$2:$A$60,0)),"Not Recorded"))</f>
        <v>Asia-Pacific</v>
      </c>
      <c r="S5" s="45" t="str">
        <f aca="false">IF(TRIM(L5)="","Not Recorded",IFERROR(INDEX(Lists!$E$2:$E$60,MATCH(TRIM(L5),Lists!$D$2:$D$60,0)),"Not Recorded"))</f>
        <v>In Discussion</v>
      </c>
      <c r="T5" s="45" t="str">
        <f aca="false">IF(TRIM(M5)="","Not Recorded",IFERROR(INDEX(Lists!$H$2:$H$60,MATCH(TRIM(M5),Lists!$G$2:$G$60,0)),"Not Recorded"))</f>
        <v>Medium</v>
      </c>
      <c r="U5" s="45" t="n">
        <f aca="false">IF(ISNUMBER(K5),Lists!$K$2-K5,"")</f>
        <v>13</v>
      </c>
      <c r="V5" s="46" t="n">
        <f aca="false">IF(AND(ISNUMBER(P5),P5&lt;Lists!$K$2,S5&lt;&gt;"On Hold"),1,0)</f>
        <v>0</v>
      </c>
      <c r="W5" s="45" t="n">
        <f aca="false">IF(V5=1,Lists!$K$2-P5,0)</f>
        <v>0</v>
      </c>
      <c r="X5" s="45" t="n">
        <f aca="false">IF(AND(ISNUMBER(K5),S5&lt;&gt;"On Hold"),IF(Lists!$K$2-K5&gt;Lists!$K$3,1,0),0)</f>
        <v>0</v>
      </c>
      <c r="Y5" s="46" t="n">
        <f aca="false">(F5="")+IF(F5="",0,ISERROR(FIND("@",F5))*1)+(D5="")+(I5="")+(R5="Not Recorded")+(S5="Not Recorded")+(T5="Not Recorded")+((ISTEXT(J5)+ISTEXT(K5)+ISTEXT(P5))&gt;0)+IF(AND(ISNUMBER(J5),ISNUMBER(K5)),(K5&lt;J5)*1,0)+IF(ISNUMBER(K5),(K5&gt;Lists!$K$2)*1,0)+(COUNTIF($B$2:$B$79,B5)&gt;1)+IF(S5="Not Started",(N5&gt;0)*1,IF(S5="Not Recorded",0,(N5=0)*1))+IF(AND(S5&lt;&gt;"Not Started",S5&lt;&gt;"Not Recorded"),(K5="")*1,0)+(P5="")+(G5="")+IF(G5="",0,(LEFT(G5,1)&lt;&gt;"+")*1)</f>
        <v>0</v>
      </c>
      <c r="Z5" s="47" t="n">
        <f aca="false">IF(V5=1,W5+ROW()/100000,0)</f>
        <v>0</v>
      </c>
      <c r="AA5" s="45" t="n">
        <f aca="false">IF(OR(S5="In Discussion",S5="Meeting Scheduled",S5="Partnership Active"),1,0)</f>
        <v>1</v>
      </c>
      <c r="AB5" s="45" t="n">
        <f aca="false">IF(AND(S5&lt;&gt;"Not Started",S5&lt;&gt;"Not Recorded"),1,0)</f>
        <v>1</v>
      </c>
    </row>
    <row r="6" customFormat="false" ht="15" hidden="false" customHeight="false" outlineLevel="0" collapsed="false">
      <c r="A6" s="38" t="s">
        <v>209</v>
      </c>
      <c r="B6" s="38" t="s">
        <v>210</v>
      </c>
      <c r="C6" s="38" t="s">
        <v>24</v>
      </c>
      <c r="D6" s="38" t="s">
        <v>211</v>
      </c>
      <c r="E6" s="38" t="s">
        <v>212</v>
      </c>
      <c r="F6" s="38" t="s">
        <v>213</v>
      </c>
      <c r="G6" s="38" t="s">
        <v>214</v>
      </c>
      <c r="H6" s="38" t="s">
        <v>215</v>
      </c>
      <c r="I6" s="38" t="s">
        <v>46</v>
      </c>
      <c r="J6" s="44" t="n">
        <v>46148</v>
      </c>
      <c r="K6" s="44" t="n">
        <v>46338</v>
      </c>
      <c r="L6" s="38" t="s">
        <v>37</v>
      </c>
      <c r="M6" s="38" t="s">
        <v>25</v>
      </c>
      <c r="N6" s="38" t="n">
        <v>6</v>
      </c>
      <c r="O6" s="38" t="s">
        <v>216</v>
      </c>
      <c r="P6" s="38"/>
      <c r="Q6" s="38" t="s">
        <v>187</v>
      </c>
      <c r="R6" s="45" t="str">
        <f aca="false">IF(TRIM(C6)="","Not Recorded",IFERROR(INDEX(Lists!$B$2:$B$60,MATCH(TRIM(C6),Lists!$A$2:$A$60,0)),"Not Recorded"))</f>
        <v>Asia-Pacific</v>
      </c>
      <c r="S6" s="45" t="str">
        <f aca="false">IF(TRIM(L6)="","Not Recorded",IFERROR(INDEX(Lists!$E$2:$E$60,MATCH(TRIM(L6),Lists!$D$2:$D$60,0)),"Not Recorded"))</f>
        <v>On Hold</v>
      </c>
      <c r="T6" s="45" t="str">
        <f aca="false">IF(TRIM(M6)="","Not Recorded",IFERROR(INDEX(Lists!$H$2:$H$60,MATCH(TRIM(M6),Lists!$G$2:$G$60,0)),"Not Recorded"))</f>
        <v>Medium</v>
      </c>
      <c r="U6" s="45" t="n">
        <f aca="false">IF(ISNUMBER(K6),Lists!$K$2-K6,"")</f>
        <v>-37</v>
      </c>
      <c r="V6" s="46" t="n">
        <f aca="false">IF(AND(ISNUMBER(P6),P6&lt;Lists!$K$2,S6&lt;&gt;"On Hold"),1,0)</f>
        <v>0</v>
      </c>
      <c r="W6" s="45" t="n">
        <f aca="false">IF(V6=1,Lists!$K$2-P6,0)</f>
        <v>0</v>
      </c>
      <c r="X6" s="45" t="n">
        <f aca="false">IF(AND(ISNUMBER(K6),S6&lt;&gt;"On Hold"),IF(Lists!$K$2-K6&gt;Lists!$K$3,1,0),0)</f>
        <v>0</v>
      </c>
      <c r="Y6" s="46" t="n">
        <f aca="false">(F6="")+IF(F6="",0,ISERROR(FIND("@",F6))*1)+(D6="")+(I6="")+(R6="Not Recorded")+(S6="Not Recorded")+(T6="Not Recorded")+((ISTEXT(J6)+ISTEXT(K6)+ISTEXT(P6))&gt;0)+IF(AND(ISNUMBER(J6),ISNUMBER(K6)),(K6&lt;J6)*1,0)+IF(ISNUMBER(K6),(K6&gt;Lists!$K$2)*1,0)+(COUNTIF($B$2:$B$79,B6)&gt;1)+IF(S6="Not Started",(N6&gt;0)*1,IF(S6="Not Recorded",0,(N6=0)*1))+IF(AND(S6&lt;&gt;"Not Started",S6&lt;&gt;"Not Recorded"),(K6="")*1,0)+(P6="")+(G6="")+IF(G6="",0,(LEFT(G6,1)&lt;&gt;"+")*1)</f>
        <v>3</v>
      </c>
      <c r="Z6" s="47" t="n">
        <f aca="false">IF(V6=1,W6+ROW()/100000,0)</f>
        <v>0</v>
      </c>
      <c r="AA6" s="45" t="n">
        <f aca="false">IF(OR(S6="In Discussion",S6="Meeting Scheduled",S6="Partnership Active"),1,0)</f>
        <v>0</v>
      </c>
      <c r="AB6" s="45" t="n">
        <f aca="false">IF(AND(S6&lt;&gt;"Not Started",S6&lt;&gt;"Not Recorded"),1,0)</f>
        <v>1</v>
      </c>
    </row>
    <row r="7" customFormat="false" ht="15" hidden="false" customHeight="false" outlineLevel="0" collapsed="false">
      <c r="A7" s="38" t="s">
        <v>217</v>
      </c>
      <c r="B7" s="38" t="s">
        <v>218</v>
      </c>
      <c r="C7" s="38" t="s">
        <v>24</v>
      </c>
      <c r="D7" s="38" t="s">
        <v>219</v>
      </c>
      <c r="E7" s="38" t="s">
        <v>212</v>
      </c>
      <c r="F7" s="38"/>
      <c r="G7" s="38" t="s">
        <v>220</v>
      </c>
      <c r="H7" s="38" t="s">
        <v>114</v>
      </c>
      <c r="I7" s="38" t="s">
        <v>52</v>
      </c>
      <c r="J7" s="44" t="n">
        <v>46140</v>
      </c>
      <c r="K7" s="44" t="n">
        <v>46261</v>
      </c>
      <c r="L7" s="38" t="s">
        <v>206</v>
      </c>
      <c r="M7" s="38" t="s">
        <v>23</v>
      </c>
      <c r="N7" s="38" t="n">
        <v>3</v>
      </c>
      <c r="O7" s="38" t="s">
        <v>207</v>
      </c>
      <c r="P7" s="44" t="n">
        <v>46293</v>
      </c>
      <c r="Q7" s="38"/>
      <c r="R7" s="45" t="str">
        <f aca="false">IF(TRIM(C7)="","Not Recorded",IFERROR(INDEX(Lists!$B$2:$B$60,MATCH(TRIM(C7),Lists!$A$2:$A$60,0)),"Not Recorded"))</f>
        <v>Asia-Pacific</v>
      </c>
      <c r="S7" s="45" t="str">
        <f aca="false">IF(TRIM(L7)="","Not Recorded",IFERROR(INDEX(Lists!$E$2:$E$60,MATCH(TRIM(L7),Lists!$D$2:$D$60,0)),"Not Recorded"))</f>
        <v>In Discussion</v>
      </c>
      <c r="T7" s="45" t="str">
        <f aca="false">IF(TRIM(M7)="","Not Recorded",IFERROR(INDEX(Lists!$H$2:$H$60,MATCH(TRIM(M7),Lists!$G$2:$G$60,0)),"Not Recorded"))</f>
        <v>High</v>
      </c>
      <c r="U7" s="45" t="n">
        <f aca="false">IF(ISNUMBER(K7),Lists!$K$2-K7,"")</f>
        <v>40</v>
      </c>
      <c r="V7" s="46" t="n">
        <f aca="false">IF(AND(ISNUMBER(P7),P7&lt;Lists!$K$2,S7&lt;&gt;"On Hold"),1,0)</f>
        <v>1</v>
      </c>
      <c r="W7" s="45" t="n">
        <f aca="false">IF(V7=1,Lists!$K$2-P7,0)</f>
        <v>8</v>
      </c>
      <c r="X7" s="45" t="n">
        <f aca="false">IF(AND(ISNUMBER(K7),S7&lt;&gt;"On Hold"),IF(Lists!$K$2-K7&gt;Lists!$K$3,1,0),0)</f>
        <v>1</v>
      </c>
      <c r="Y7" s="46" t="n">
        <f aca="false">(F7="")+IF(F7="",0,ISERROR(FIND("@",F7))*1)+(D7="")+(I7="")+(R7="Not Recorded")+(S7="Not Recorded")+(T7="Not Recorded")+((ISTEXT(J7)+ISTEXT(K7)+ISTEXT(P7))&gt;0)+IF(AND(ISNUMBER(J7),ISNUMBER(K7)),(K7&lt;J7)*1,0)+IF(ISNUMBER(K7),(K7&gt;Lists!$K$2)*1,0)+(COUNTIF($B$2:$B$79,B7)&gt;1)+IF(S7="Not Started",(N7&gt;0)*1,IF(S7="Not Recorded",0,(N7=0)*1))+IF(AND(S7&lt;&gt;"Not Started",S7&lt;&gt;"Not Recorded"),(K7="")*1,0)+(P7="")+(G7="")+IF(G7="",0,(LEFT(G7,1)&lt;&gt;"+")*1)</f>
        <v>1</v>
      </c>
      <c r="Z7" s="47" t="n">
        <f aca="false">IF(V7=1,W7+ROW()/100000,0)</f>
        <v>8.00007</v>
      </c>
      <c r="AA7" s="45" t="n">
        <f aca="false">IF(OR(S7="In Discussion",S7="Meeting Scheduled",S7="Partnership Active"),1,0)</f>
        <v>1</v>
      </c>
      <c r="AB7" s="45" t="n">
        <f aca="false">IF(AND(S7&lt;&gt;"Not Started",S7&lt;&gt;"Not Recorded"),1,0)</f>
        <v>1</v>
      </c>
    </row>
    <row r="8" customFormat="false" ht="15" hidden="false" customHeight="false" outlineLevel="0" collapsed="false">
      <c r="A8" s="38" t="s">
        <v>221</v>
      </c>
      <c r="B8" s="38" t="s">
        <v>222</v>
      </c>
      <c r="C8" s="38" t="s">
        <v>33</v>
      </c>
      <c r="D8" s="38" t="s">
        <v>223</v>
      </c>
      <c r="E8" s="38" t="s">
        <v>190</v>
      </c>
      <c r="F8" s="38" t="s">
        <v>224</v>
      </c>
      <c r="G8" s="38" t="s">
        <v>225</v>
      </c>
      <c r="H8" s="38" t="s">
        <v>107</v>
      </c>
      <c r="I8" s="38" t="s">
        <v>46</v>
      </c>
      <c r="J8" s="38"/>
      <c r="K8" s="38"/>
      <c r="L8" s="38" t="s">
        <v>21</v>
      </c>
      <c r="M8" s="38" t="s">
        <v>31</v>
      </c>
      <c r="N8" s="38" t="n">
        <v>0</v>
      </c>
      <c r="O8" s="38" t="s">
        <v>186</v>
      </c>
      <c r="P8" s="44" t="n">
        <v>46322</v>
      </c>
      <c r="Q8" s="38" t="s">
        <v>226</v>
      </c>
      <c r="R8" s="45" t="str">
        <f aca="false">IF(TRIM(C8)="","Not Recorded",IFERROR(INDEX(Lists!$B$2:$B$60,MATCH(TRIM(C8),Lists!$A$2:$A$60,0)),"Not Recorded"))</f>
        <v>Americas</v>
      </c>
      <c r="S8" s="45" t="str">
        <f aca="false">IF(TRIM(L8)="","Not Recorded",IFERROR(INDEX(Lists!$E$2:$E$60,MATCH(TRIM(L8),Lists!$D$2:$D$60,0)),"Not Recorded"))</f>
        <v>Not Started</v>
      </c>
      <c r="T8" s="45" t="str">
        <f aca="false">IF(TRIM(M8)="","Not Recorded",IFERROR(INDEX(Lists!$H$2:$H$60,MATCH(TRIM(M8),Lists!$G$2:$G$60,0)),"Not Recorded"))</f>
        <v>None</v>
      </c>
      <c r="U8" s="45" t="str">
        <f aca="false">IF(ISNUMBER(K8),Lists!$K$2-K8,"")</f>
        <v/>
      </c>
      <c r="V8" s="46" t="n">
        <f aca="false">IF(AND(ISNUMBER(P8),P8&lt;Lists!$K$2,S8&lt;&gt;"On Hold"),1,0)</f>
        <v>0</v>
      </c>
      <c r="W8" s="45" t="n">
        <f aca="false">IF(V8=1,Lists!$K$2-P8,0)</f>
        <v>0</v>
      </c>
      <c r="X8" s="45" t="n">
        <f aca="false">IF(AND(ISNUMBER(K8),S8&lt;&gt;"On Hold"),IF(Lists!$K$2-K8&gt;Lists!$K$3,1,0),0)</f>
        <v>0</v>
      </c>
      <c r="Y8" s="46" t="n">
        <f aca="false">(F8="")+IF(F8="",0,ISERROR(FIND("@",F8))*1)+(D8="")+(I8="")+(R8="Not Recorded")+(S8="Not Recorded")+(T8="Not Recorded")+((ISTEXT(J8)+ISTEXT(K8)+ISTEXT(P8))&gt;0)+IF(AND(ISNUMBER(J8),ISNUMBER(K8)),(K8&lt;J8)*1,0)+IF(ISNUMBER(K8),(K8&gt;Lists!$K$2)*1,0)+(COUNTIF($B$2:$B$79,B8)&gt;1)+IF(S8="Not Started",(N8&gt;0)*1,IF(S8="Not Recorded",0,(N8=0)*1))+IF(AND(S8&lt;&gt;"Not Started",S8&lt;&gt;"Not Recorded"),(K8="")*1,0)+(P8="")+(G8="")+IF(G8="",0,(LEFT(G8,1)&lt;&gt;"+")*1)</f>
        <v>0</v>
      </c>
      <c r="Z8" s="47" t="n">
        <f aca="false">IF(V8=1,W8+ROW()/100000,0)</f>
        <v>0</v>
      </c>
      <c r="AA8" s="45" t="n">
        <f aca="false">IF(OR(S8="In Discussion",S8="Meeting Scheduled",S8="Partnership Active"),1,0)</f>
        <v>0</v>
      </c>
      <c r="AB8" s="45" t="n">
        <f aca="false">IF(AND(S8&lt;&gt;"Not Started",S8&lt;&gt;"Not Recorded"),1,0)</f>
        <v>0</v>
      </c>
    </row>
    <row r="9" customFormat="false" ht="15" hidden="false" customHeight="false" outlineLevel="0" collapsed="false">
      <c r="A9" s="38" t="s">
        <v>227</v>
      </c>
      <c r="B9" s="38" t="s">
        <v>228</v>
      </c>
      <c r="C9" s="38" t="s">
        <v>30</v>
      </c>
      <c r="D9" s="38" t="s">
        <v>229</v>
      </c>
      <c r="E9" s="38" t="s">
        <v>198</v>
      </c>
      <c r="F9" s="38" t="s">
        <v>230</v>
      </c>
      <c r="G9" s="38" t="s">
        <v>231</v>
      </c>
      <c r="H9" s="38" t="s">
        <v>107</v>
      </c>
      <c r="I9" s="38" t="s">
        <v>54</v>
      </c>
      <c r="J9" s="44" t="n">
        <v>46283</v>
      </c>
      <c r="K9" s="38" t="s">
        <v>232</v>
      </c>
      <c r="L9" s="38" t="s">
        <v>233</v>
      </c>
      <c r="M9" s="38" t="s">
        <v>25</v>
      </c>
      <c r="N9" s="38" t="n">
        <v>1</v>
      </c>
      <c r="O9" s="38" t="s">
        <v>234</v>
      </c>
      <c r="P9" s="44" t="n">
        <v>46323</v>
      </c>
      <c r="Q9" s="38"/>
      <c r="R9" s="45" t="str">
        <f aca="false">IF(TRIM(C9)="","Not Recorded",IFERROR(INDEX(Lists!$B$2:$B$60,MATCH(TRIM(C9),Lists!$A$2:$A$60,0)),"Not Recorded"))</f>
        <v>Africa</v>
      </c>
      <c r="S9" s="45" t="str">
        <f aca="false">IF(TRIM(L9)="","Not Recorded",IFERROR(INDEX(Lists!$E$2:$E$60,MATCH(TRIM(L9),Lists!$D$2:$D$60,0)),"Not Recorded"))</f>
        <v>Contacted</v>
      </c>
      <c r="T9" s="45" t="str">
        <f aca="false">IF(TRIM(M9)="","Not Recorded",IFERROR(INDEX(Lists!$H$2:$H$60,MATCH(TRIM(M9),Lists!$G$2:$G$60,0)),"Not Recorded"))</f>
        <v>Medium</v>
      </c>
      <c r="U9" s="45" t="str">
        <f aca="false">IF(ISNUMBER(K9),Lists!$K$2-K9,"")</f>
        <v/>
      </c>
      <c r="V9" s="46" t="n">
        <f aca="false">IF(AND(ISNUMBER(P9),P9&lt;Lists!$K$2,S9&lt;&gt;"On Hold"),1,0)</f>
        <v>0</v>
      </c>
      <c r="W9" s="45" t="n">
        <f aca="false">IF(V9=1,Lists!$K$2-P9,0)</f>
        <v>0</v>
      </c>
      <c r="X9" s="45" t="n">
        <f aca="false">IF(AND(ISNUMBER(K9),S9&lt;&gt;"On Hold"),IF(Lists!$K$2-K9&gt;Lists!$K$3,1,0),0)</f>
        <v>0</v>
      </c>
      <c r="Y9" s="46" t="n">
        <f aca="false">(F9="")+IF(F9="",0,ISERROR(FIND("@",F9))*1)+(D9="")+(I9="")+(R9="Not Recorded")+(S9="Not Recorded")+(T9="Not Recorded")+((ISTEXT(J9)+ISTEXT(K9)+ISTEXT(P9))&gt;0)+IF(AND(ISNUMBER(J9),ISNUMBER(K9)),(K9&lt;J9)*1,0)+IF(ISNUMBER(K9),(K9&gt;Lists!$K$2)*1,0)+(COUNTIF($B$2:$B$79,B9)&gt;1)+IF(S9="Not Started",(N9&gt;0)*1,IF(S9="Not Recorded",0,(N9=0)*1))+IF(AND(S9&lt;&gt;"Not Started",S9&lt;&gt;"Not Recorded"),(K9="")*1,0)+(P9="")+(G9="")+IF(G9="",0,(LEFT(G9,1)&lt;&gt;"+")*1)</f>
        <v>1</v>
      </c>
      <c r="Z9" s="47" t="n">
        <f aca="false">IF(V9=1,W9+ROW()/100000,0)</f>
        <v>0</v>
      </c>
      <c r="AA9" s="45" t="n">
        <f aca="false">IF(OR(S9="In Discussion",S9="Meeting Scheduled",S9="Partnership Active"),1,0)</f>
        <v>0</v>
      </c>
      <c r="AB9" s="45" t="n">
        <f aca="false">IF(AND(S9&lt;&gt;"Not Started",S9&lt;&gt;"Not Recorded"),1,0)</f>
        <v>1</v>
      </c>
    </row>
    <row r="10" customFormat="false" ht="15" hidden="false" customHeight="false" outlineLevel="0" collapsed="false">
      <c r="A10" s="38" t="s">
        <v>235</v>
      </c>
      <c r="B10" s="38" t="s">
        <v>236</v>
      </c>
      <c r="C10" s="38" t="s">
        <v>27</v>
      </c>
      <c r="D10" s="38" t="s">
        <v>237</v>
      </c>
      <c r="E10" s="38" t="s">
        <v>238</v>
      </c>
      <c r="F10" s="38" t="s">
        <v>239</v>
      </c>
      <c r="G10" s="38" t="s">
        <v>240</v>
      </c>
      <c r="H10" s="38" t="s">
        <v>241</v>
      </c>
      <c r="I10" s="38" t="s">
        <v>44</v>
      </c>
      <c r="J10" s="44" t="n">
        <v>46159</v>
      </c>
      <c r="K10" s="44" t="n">
        <v>46276</v>
      </c>
      <c r="L10" s="38" t="s">
        <v>35</v>
      </c>
      <c r="M10" s="38" t="s">
        <v>31</v>
      </c>
      <c r="N10" s="38" t="n">
        <v>20</v>
      </c>
      <c r="O10" s="38" t="s">
        <v>242</v>
      </c>
      <c r="P10" s="44" t="n">
        <v>46320</v>
      </c>
      <c r="Q10" s="38" t="s">
        <v>187</v>
      </c>
      <c r="R10" s="45" t="str">
        <f aca="false">IF(TRIM(C10)="","Not Recorded",IFERROR(INDEX(Lists!$B$2:$B$60,MATCH(TRIM(C10),Lists!$A$2:$A$60,0)),"Not Recorded"))</f>
        <v>Middle East</v>
      </c>
      <c r="S10" s="45" t="str">
        <f aca="false">IF(TRIM(L10)="","Not Recorded",IFERROR(INDEX(Lists!$E$2:$E$60,MATCH(TRIM(L10),Lists!$D$2:$D$60,0)),"Not Recorded"))</f>
        <v>Partnership Active</v>
      </c>
      <c r="T10" s="45" t="str">
        <f aca="false">IF(TRIM(M10)="","Not Recorded",IFERROR(INDEX(Lists!$H$2:$H$60,MATCH(TRIM(M10),Lists!$G$2:$G$60,0)),"Not Recorded"))</f>
        <v>None</v>
      </c>
      <c r="U10" s="45" t="n">
        <f aca="false">IF(ISNUMBER(K10),Lists!$K$2-K10,"")</f>
        <v>25</v>
      </c>
      <c r="V10" s="46" t="n">
        <f aca="false">IF(AND(ISNUMBER(P10),P10&lt;Lists!$K$2,S10&lt;&gt;"On Hold"),1,0)</f>
        <v>0</v>
      </c>
      <c r="W10" s="45" t="n">
        <f aca="false">IF(V10=1,Lists!$K$2-P10,0)</f>
        <v>0</v>
      </c>
      <c r="X10" s="45" t="n">
        <f aca="false">IF(AND(ISNUMBER(K10),S10&lt;&gt;"On Hold"),IF(Lists!$K$2-K10&gt;Lists!$K$3,1,0),0)</f>
        <v>0</v>
      </c>
      <c r="Y10" s="46" t="n">
        <f aca="false">(F10="")+IF(F10="",0,ISERROR(FIND("@",F10))*1)+(D10="")+(I10="")+(R10="Not Recorded")+(S10="Not Recorded")+(T10="Not Recorded")+((ISTEXT(J10)+ISTEXT(K10)+ISTEXT(P10))&gt;0)+IF(AND(ISNUMBER(J10),ISNUMBER(K10)),(K10&lt;J10)*1,0)+IF(ISNUMBER(K10),(K10&gt;Lists!$K$2)*1,0)+(COUNTIF($B$2:$B$79,B10)&gt;1)+IF(S10="Not Started",(N10&gt;0)*1,IF(S10="Not Recorded",0,(N10=0)*1))+IF(AND(S10&lt;&gt;"Not Started",S10&lt;&gt;"Not Recorded"),(K10="")*1,0)+(P10="")+(G10="")+IF(G10="",0,(LEFT(G10,1)&lt;&gt;"+")*1)</f>
        <v>0</v>
      </c>
      <c r="Z10" s="47" t="n">
        <f aca="false">IF(V10=1,W10+ROW()/100000,0)</f>
        <v>0</v>
      </c>
      <c r="AA10" s="45" t="n">
        <f aca="false">IF(OR(S10="In Discussion",S10="Meeting Scheduled",S10="Partnership Active"),1,0)</f>
        <v>1</v>
      </c>
      <c r="AB10" s="45" t="n">
        <f aca="false">IF(AND(S10&lt;&gt;"Not Started",S10&lt;&gt;"Not Recorded"),1,0)</f>
        <v>1</v>
      </c>
    </row>
    <row r="11" customFormat="false" ht="15" hidden="false" customHeight="false" outlineLevel="0" collapsed="false">
      <c r="A11" s="38" t="s">
        <v>243</v>
      </c>
      <c r="B11" s="38" t="s">
        <v>244</v>
      </c>
      <c r="C11" s="38" t="s">
        <v>245</v>
      </c>
      <c r="D11" s="38" t="s">
        <v>246</v>
      </c>
      <c r="E11" s="38" t="s">
        <v>198</v>
      </c>
      <c r="F11" s="38" t="s">
        <v>247</v>
      </c>
      <c r="G11" s="38" t="s">
        <v>248</v>
      </c>
      <c r="H11" s="38" t="s">
        <v>114</v>
      </c>
      <c r="I11" s="38" t="s">
        <v>46</v>
      </c>
      <c r="J11" s="44" t="n">
        <v>46187</v>
      </c>
      <c r="K11" s="44" t="n">
        <v>46187</v>
      </c>
      <c r="L11" s="38" t="s">
        <v>26</v>
      </c>
      <c r="M11" s="38" t="s">
        <v>28</v>
      </c>
      <c r="N11" s="38" t="n">
        <v>1</v>
      </c>
      <c r="O11" s="38" t="s">
        <v>194</v>
      </c>
      <c r="P11" s="44" t="n">
        <v>46231</v>
      </c>
      <c r="Q11" s="38"/>
      <c r="R11" s="45" t="str">
        <f aca="false">IF(TRIM(C11)="","Not Recorded",IFERROR(INDEX(Lists!$B$2:$B$60,MATCH(TRIM(C11),Lists!$A$2:$A$60,0)),"Not Recorded"))</f>
        <v>Asia-Pacific</v>
      </c>
      <c r="S11" s="45" t="str">
        <f aca="false">IF(TRIM(L11)="","Not Recorded",IFERROR(INDEX(Lists!$E$2:$E$60,MATCH(TRIM(L11),Lists!$D$2:$D$60,0)),"Not Recorded"))</f>
        <v>No Response</v>
      </c>
      <c r="T11" s="45" t="str">
        <f aca="false">IF(TRIM(M11)="","Not Recorded",IFERROR(INDEX(Lists!$H$2:$H$60,MATCH(TRIM(M11),Lists!$G$2:$G$60,0)),"Not Recorded"))</f>
        <v>Low</v>
      </c>
      <c r="U11" s="45" t="n">
        <f aca="false">IF(ISNUMBER(K11),Lists!$K$2-K11,"")</f>
        <v>114</v>
      </c>
      <c r="V11" s="46" t="n">
        <f aca="false">IF(AND(ISNUMBER(P11),P11&lt;Lists!$K$2,S11&lt;&gt;"On Hold"),1,0)</f>
        <v>1</v>
      </c>
      <c r="W11" s="45" t="n">
        <f aca="false">IF(V11=1,Lists!$K$2-P11,0)</f>
        <v>70</v>
      </c>
      <c r="X11" s="45" t="n">
        <f aca="false">IF(AND(ISNUMBER(K11),S11&lt;&gt;"On Hold"),IF(Lists!$K$2-K11&gt;Lists!$K$3,1,0),0)</f>
        <v>1</v>
      </c>
      <c r="Y11" s="46" t="n">
        <f aca="false">(F11="")+IF(F11="",0,ISERROR(FIND("@",F11))*1)+(D11="")+(I11="")+(R11="Not Recorded")+(S11="Not Recorded")+(T11="Not Recorded")+((ISTEXT(J11)+ISTEXT(K11)+ISTEXT(P11))&gt;0)+IF(AND(ISNUMBER(J11),ISNUMBER(K11)),(K11&lt;J11)*1,0)+IF(ISNUMBER(K11),(K11&gt;Lists!$K$2)*1,0)+(COUNTIF($B$2:$B$79,B11)&gt;1)+IF(S11="Not Started",(N11&gt;0)*1,IF(S11="Not Recorded",0,(N11=0)*1))+IF(AND(S11&lt;&gt;"Not Started",S11&lt;&gt;"Not Recorded"),(K11="")*1,0)+(P11="")+(G11="")+IF(G11="",0,(LEFT(G11,1)&lt;&gt;"+")*1)</f>
        <v>0</v>
      </c>
      <c r="Z11" s="47" t="n">
        <f aca="false">IF(V11=1,W11+ROW()/100000,0)</f>
        <v>70.00011</v>
      </c>
      <c r="AA11" s="45" t="n">
        <f aca="false">IF(OR(S11="In Discussion",S11="Meeting Scheduled",S11="Partnership Active"),1,0)</f>
        <v>0</v>
      </c>
      <c r="AB11" s="45" t="n">
        <f aca="false">IF(AND(S11&lt;&gt;"Not Started",S11&lt;&gt;"Not Recorded"),1,0)</f>
        <v>1</v>
      </c>
    </row>
    <row r="12" customFormat="false" ht="15" hidden="false" customHeight="false" outlineLevel="0" collapsed="false">
      <c r="A12" s="38" t="s">
        <v>249</v>
      </c>
      <c r="B12" s="38" t="s">
        <v>250</v>
      </c>
      <c r="C12" s="38" t="s">
        <v>245</v>
      </c>
      <c r="D12" s="38" t="s">
        <v>251</v>
      </c>
      <c r="E12" s="38" t="s">
        <v>252</v>
      </c>
      <c r="F12" s="38" t="s">
        <v>253</v>
      </c>
      <c r="G12" s="38" t="s">
        <v>254</v>
      </c>
      <c r="H12" s="38" t="s">
        <v>107</v>
      </c>
      <c r="I12" s="38" t="s">
        <v>48</v>
      </c>
      <c r="J12" s="44" t="n">
        <v>46214</v>
      </c>
      <c r="K12" s="44" t="n">
        <v>46287</v>
      </c>
      <c r="L12" s="38" t="s">
        <v>35</v>
      </c>
      <c r="M12" s="38" t="s">
        <v>23</v>
      </c>
      <c r="N12" s="38" t="n">
        <v>13</v>
      </c>
      <c r="O12" s="38" t="s">
        <v>242</v>
      </c>
      <c r="P12" s="44" t="n">
        <v>46303</v>
      </c>
      <c r="Q12" s="38"/>
      <c r="R12" s="45" t="str">
        <f aca="false">IF(TRIM(C12)="","Not Recorded",IFERROR(INDEX(Lists!$B$2:$B$60,MATCH(TRIM(C12),Lists!$A$2:$A$60,0)),"Not Recorded"))</f>
        <v>Asia-Pacific</v>
      </c>
      <c r="S12" s="45" t="str">
        <f aca="false">IF(TRIM(L12)="","Not Recorded",IFERROR(INDEX(Lists!$E$2:$E$60,MATCH(TRIM(L12),Lists!$D$2:$D$60,0)),"Not Recorded"))</f>
        <v>Partnership Active</v>
      </c>
      <c r="T12" s="45" t="str">
        <f aca="false">IF(TRIM(M12)="","Not Recorded",IFERROR(INDEX(Lists!$H$2:$H$60,MATCH(TRIM(M12),Lists!$G$2:$G$60,0)),"Not Recorded"))</f>
        <v>High</v>
      </c>
      <c r="U12" s="45" t="n">
        <f aca="false">IF(ISNUMBER(K12),Lists!$K$2-K12,"")</f>
        <v>14</v>
      </c>
      <c r="V12" s="46" t="n">
        <f aca="false">IF(AND(ISNUMBER(P12),P12&lt;Lists!$K$2,S12&lt;&gt;"On Hold"),1,0)</f>
        <v>0</v>
      </c>
      <c r="W12" s="45" t="n">
        <f aca="false">IF(V12=1,Lists!$K$2-P12,0)</f>
        <v>0</v>
      </c>
      <c r="X12" s="45" t="n">
        <f aca="false">IF(AND(ISNUMBER(K12),S12&lt;&gt;"On Hold"),IF(Lists!$K$2-K12&gt;Lists!$K$3,1,0),0)</f>
        <v>0</v>
      </c>
      <c r="Y12" s="46" t="n">
        <f aca="false">(F12="")+IF(F12="",0,ISERROR(FIND("@",F12))*1)+(D12="")+(I12="")+(R12="Not Recorded")+(S12="Not Recorded")+(T12="Not Recorded")+((ISTEXT(J12)+ISTEXT(K12)+ISTEXT(P12))&gt;0)+IF(AND(ISNUMBER(J12),ISNUMBER(K12)),(K12&lt;J12)*1,0)+IF(ISNUMBER(K12),(K12&gt;Lists!$K$2)*1,0)+(COUNTIF($B$2:$B$79,B12)&gt;1)+IF(S12="Not Started",(N12&gt;0)*1,IF(S12="Not Recorded",0,(N12=0)*1))+IF(AND(S12&lt;&gt;"Not Started",S12&lt;&gt;"Not Recorded"),(K12="")*1,0)+(P12="")+(G12="")+IF(G12="",0,(LEFT(G12,1)&lt;&gt;"+")*1)</f>
        <v>0</v>
      </c>
      <c r="Z12" s="47" t="n">
        <f aca="false">IF(V12=1,W12+ROW()/100000,0)</f>
        <v>0</v>
      </c>
      <c r="AA12" s="45" t="n">
        <f aca="false">IF(OR(S12="In Discussion",S12="Meeting Scheduled",S12="Partnership Active"),1,0)</f>
        <v>1</v>
      </c>
      <c r="AB12" s="45" t="n">
        <f aca="false">IF(AND(S12&lt;&gt;"Not Started",S12&lt;&gt;"Not Recorded"),1,0)</f>
        <v>1</v>
      </c>
    </row>
    <row r="13" customFormat="false" ht="15" hidden="false" customHeight="false" outlineLevel="0" collapsed="false">
      <c r="A13" s="38" t="s">
        <v>255</v>
      </c>
      <c r="B13" s="38" t="s">
        <v>256</v>
      </c>
      <c r="C13" s="38" t="s">
        <v>22</v>
      </c>
      <c r="D13" s="38" t="s">
        <v>257</v>
      </c>
      <c r="E13" s="38" t="s">
        <v>258</v>
      </c>
      <c r="F13" s="38" t="s">
        <v>259</v>
      </c>
      <c r="G13" s="38" t="s">
        <v>260</v>
      </c>
      <c r="H13" s="38" t="s">
        <v>261</v>
      </c>
      <c r="I13" s="38" t="s">
        <v>44</v>
      </c>
      <c r="J13" s="44" t="n">
        <v>46210</v>
      </c>
      <c r="K13" s="44" t="n">
        <v>46194</v>
      </c>
      <c r="L13" s="38" t="s">
        <v>32</v>
      </c>
      <c r="M13" s="38" t="s">
        <v>25</v>
      </c>
      <c r="N13" s="38" t="n">
        <v>6</v>
      </c>
      <c r="O13" s="38" t="s">
        <v>262</v>
      </c>
      <c r="P13" s="38"/>
      <c r="Q13" s="38"/>
      <c r="R13" s="45" t="str">
        <f aca="false">IF(TRIM(C13)="","Not Recorded",IFERROR(INDEX(Lists!$B$2:$B$60,MATCH(TRIM(C13),Lists!$A$2:$A$60,0)),"Not Recorded"))</f>
        <v>Europe</v>
      </c>
      <c r="S13" s="45" t="str">
        <f aca="false">IF(TRIM(L13)="","Not Recorded",IFERROR(INDEX(Lists!$E$2:$E$60,MATCH(TRIM(L13),Lists!$D$2:$D$60,0)),"Not Recorded"))</f>
        <v>Meeting Scheduled</v>
      </c>
      <c r="T13" s="45" t="str">
        <f aca="false">IF(TRIM(M13)="","Not Recorded",IFERROR(INDEX(Lists!$H$2:$H$60,MATCH(TRIM(M13),Lists!$G$2:$G$60,0)),"Not Recorded"))</f>
        <v>Medium</v>
      </c>
      <c r="U13" s="45" t="n">
        <f aca="false">IF(ISNUMBER(K13),Lists!$K$2-K13,"")</f>
        <v>107</v>
      </c>
      <c r="V13" s="46" t="n">
        <f aca="false">IF(AND(ISNUMBER(P13),P13&lt;Lists!$K$2,S13&lt;&gt;"On Hold"),1,0)</f>
        <v>0</v>
      </c>
      <c r="W13" s="45" t="n">
        <f aca="false">IF(V13=1,Lists!$K$2-P13,0)</f>
        <v>0</v>
      </c>
      <c r="X13" s="45" t="n">
        <f aca="false">IF(AND(ISNUMBER(K13),S13&lt;&gt;"On Hold"),IF(Lists!$K$2-K13&gt;Lists!$K$3,1,0),0)</f>
        <v>1</v>
      </c>
      <c r="Y13" s="46" t="n">
        <f aca="false">(F13="")+IF(F13="",0,ISERROR(FIND("@",F13))*1)+(D13="")+(I13="")+(R13="Not Recorded")+(S13="Not Recorded")+(T13="Not Recorded")+((ISTEXT(J13)+ISTEXT(K13)+ISTEXT(P13))&gt;0)+IF(AND(ISNUMBER(J13),ISNUMBER(K13)),(K13&lt;J13)*1,0)+IF(ISNUMBER(K13),(K13&gt;Lists!$K$2)*1,0)+(COUNTIF($B$2:$B$79,B13)&gt;1)+IF(S13="Not Started",(N13&gt;0)*1,IF(S13="Not Recorded",0,(N13=0)*1))+IF(AND(S13&lt;&gt;"Not Started",S13&lt;&gt;"Not Recorded"),(K13="")*1,0)+(P13="")+(G13="")+IF(G13="",0,(LEFT(G13,1)&lt;&gt;"+")*1)</f>
        <v>2</v>
      </c>
      <c r="Z13" s="47" t="n">
        <f aca="false">IF(V13=1,W13+ROW()/100000,0)</f>
        <v>0</v>
      </c>
      <c r="AA13" s="45" t="n">
        <f aca="false">IF(OR(S13="In Discussion",S13="Meeting Scheduled",S13="Partnership Active"),1,0)</f>
        <v>1</v>
      </c>
      <c r="AB13" s="45" t="n">
        <f aca="false">IF(AND(S13&lt;&gt;"Not Started",S13&lt;&gt;"Not Recorded"),1,0)</f>
        <v>1</v>
      </c>
    </row>
    <row r="14" customFormat="false" ht="15" hidden="false" customHeight="false" outlineLevel="0" collapsed="false">
      <c r="A14" s="38" t="s">
        <v>263</v>
      </c>
      <c r="B14" s="38" t="s">
        <v>264</v>
      </c>
      <c r="C14" s="38" t="s">
        <v>22</v>
      </c>
      <c r="D14" s="38" t="s">
        <v>265</v>
      </c>
      <c r="E14" s="38" t="s">
        <v>198</v>
      </c>
      <c r="F14" s="38" t="s">
        <v>266</v>
      </c>
      <c r="G14" s="38" t="s">
        <v>267</v>
      </c>
      <c r="H14" s="38" t="s">
        <v>261</v>
      </c>
      <c r="I14" s="38"/>
      <c r="J14" s="44" t="n">
        <v>46291</v>
      </c>
      <c r="K14" s="44" t="n">
        <v>46291</v>
      </c>
      <c r="L14" s="38" t="s">
        <v>233</v>
      </c>
      <c r="M14" s="38" t="s">
        <v>28</v>
      </c>
      <c r="N14" s="38" t="n">
        <v>1</v>
      </c>
      <c r="O14" s="38" t="s">
        <v>234</v>
      </c>
      <c r="P14" s="44" t="n">
        <v>46325</v>
      </c>
      <c r="Q14" s="38" t="s">
        <v>268</v>
      </c>
      <c r="R14" s="45" t="str">
        <f aca="false">IF(TRIM(C14)="","Not Recorded",IFERROR(INDEX(Lists!$B$2:$B$60,MATCH(TRIM(C14),Lists!$A$2:$A$60,0)),"Not Recorded"))</f>
        <v>Europe</v>
      </c>
      <c r="S14" s="45" t="str">
        <f aca="false">IF(TRIM(L14)="","Not Recorded",IFERROR(INDEX(Lists!$E$2:$E$60,MATCH(TRIM(L14),Lists!$D$2:$D$60,0)),"Not Recorded"))</f>
        <v>Contacted</v>
      </c>
      <c r="T14" s="45" t="str">
        <f aca="false">IF(TRIM(M14)="","Not Recorded",IFERROR(INDEX(Lists!$H$2:$H$60,MATCH(TRIM(M14),Lists!$G$2:$G$60,0)),"Not Recorded"))</f>
        <v>Low</v>
      </c>
      <c r="U14" s="45" t="n">
        <f aca="false">IF(ISNUMBER(K14),Lists!$K$2-K14,"")</f>
        <v>10</v>
      </c>
      <c r="V14" s="46" t="n">
        <f aca="false">IF(AND(ISNUMBER(P14),P14&lt;Lists!$K$2,S14&lt;&gt;"On Hold"),1,0)</f>
        <v>0</v>
      </c>
      <c r="W14" s="45" t="n">
        <f aca="false">IF(V14=1,Lists!$K$2-P14,0)</f>
        <v>0</v>
      </c>
      <c r="X14" s="45" t="n">
        <f aca="false">IF(AND(ISNUMBER(K14),S14&lt;&gt;"On Hold"),IF(Lists!$K$2-K14&gt;Lists!$K$3,1,0),0)</f>
        <v>0</v>
      </c>
      <c r="Y14" s="46" t="n">
        <f aca="false">(F14="")+IF(F14="",0,ISERROR(FIND("@",F14))*1)+(D14="")+(I14="")+(R14="Not Recorded")+(S14="Not Recorded")+(T14="Not Recorded")+((ISTEXT(J14)+ISTEXT(K14)+ISTEXT(P14))&gt;0)+IF(AND(ISNUMBER(J14),ISNUMBER(K14)),(K14&lt;J14)*1,0)+IF(ISNUMBER(K14),(K14&gt;Lists!$K$2)*1,0)+(COUNTIF($B$2:$B$79,B14)&gt;1)+IF(S14="Not Started",(N14&gt;0)*1,IF(S14="Not Recorded",0,(N14=0)*1))+IF(AND(S14&lt;&gt;"Not Started",S14&lt;&gt;"Not Recorded"),(K14="")*1,0)+(P14="")+(G14="")+IF(G14="",0,(LEFT(G14,1)&lt;&gt;"+")*1)</f>
        <v>1</v>
      </c>
      <c r="Z14" s="47" t="n">
        <f aca="false">IF(V14=1,W14+ROW()/100000,0)</f>
        <v>0</v>
      </c>
      <c r="AA14" s="45" t="n">
        <f aca="false">IF(OR(S14="In Discussion",S14="Meeting Scheduled",S14="Partnership Active"),1,0)</f>
        <v>0</v>
      </c>
      <c r="AB14" s="45" t="n">
        <f aca="false">IF(AND(S14&lt;&gt;"Not Started",S14&lt;&gt;"Not Recorded"),1,0)</f>
        <v>1</v>
      </c>
    </row>
    <row r="15" customFormat="false" ht="15" hidden="false" customHeight="false" outlineLevel="0" collapsed="false">
      <c r="A15" s="38" t="s">
        <v>269</v>
      </c>
      <c r="B15" s="38" t="s">
        <v>270</v>
      </c>
      <c r="C15" s="38"/>
      <c r="D15" s="38" t="s">
        <v>271</v>
      </c>
      <c r="E15" s="38" t="s">
        <v>183</v>
      </c>
      <c r="F15" s="38" t="s">
        <v>272</v>
      </c>
      <c r="G15" s="38" t="s">
        <v>273</v>
      </c>
      <c r="H15" s="38" t="s">
        <v>261</v>
      </c>
      <c r="I15" s="38" t="s">
        <v>52</v>
      </c>
      <c r="J15" s="44" t="n">
        <v>46141</v>
      </c>
      <c r="K15" s="44" t="n">
        <v>46280</v>
      </c>
      <c r="L15" s="38" t="s">
        <v>29</v>
      </c>
      <c r="M15" s="38" t="s">
        <v>23</v>
      </c>
      <c r="N15" s="38" t="n">
        <v>3</v>
      </c>
      <c r="O15" s="38" t="s">
        <v>207</v>
      </c>
      <c r="P15" s="44" t="n">
        <v>46309</v>
      </c>
      <c r="Q15" s="38" t="s">
        <v>226</v>
      </c>
      <c r="R15" s="45" t="str">
        <f aca="false">IF(TRIM(C15)="","Not Recorded",IFERROR(INDEX(Lists!$B$2:$B$60,MATCH(TRIM(C15),Lists!$A$2:$A$60,0)),"Not Recorded"))</f>
        <v>Not Recorded</v>
      </c>
      <c r="S15" s="45" t="str">
        <f aca="false">IF(TRIM(L15)="","Not Recorded",IFERROR(INDEX(Lists!$E$2:$E$60,MATCH(TRIM(L15),Lists!$D$2:$D$60,0)),"Not Recorded"))</f>
        <v>In Discussion</v>
      </c>
      <c r="T15" s="45" t="str">
        <f aca="false">IF(TRIM(M15)="","Not Recorded",IFERROR(INDEX(Lists!$H$2:$H$60,MATCH(TRIM(M15),Lists!$G$2:$G$60,0)),"Not Recorded"))</f>
        <v>High</v>
      </c>
      <c r="U15" s="45" t="n">
        <f aca="false">IF(ISNUMBER(K15),Lists!$K$2-K15,"")</f>
        <v>21</v>
      </c>
      <c r="V15" s="46" t="n">
        <f aca="false">IF(AND(ISNUMBER(P15),P15&lt;Lists!$K$2,S15&lt;&gt;"On Hold"),1,0)</f>
        <v>0</v>
      </c>
      <c r="W15" s="45" t="n">
        <f aca="false">IF(V15=1,Lists!$K$2-P15,0)</f>
        <v>0</v>
      </c>
      <c r="X15" s="45" t="n">
        <f aca="false">IF(AND(ISNUMBER(K15),S15&lt;&gt;"On Hold"),IF(Lists!$K$2-K15&gt;Lists!$K$3,1,0),0)</f>
        <v>0</v>
      </c>
      <c r="Y15" s="46" t="n">
        <f aca="false">(F15="")+IF(F15="",0,ISERROR(FIND("@",F15))*1)+(D15="")+(I15="")+(R15="Not Recorded")+(S15="Not Recorded")+(T15="Not Recorded")+((ISTEXT(J15)+ISTEXT(K15)+ISTEXT(P15))&gt;0)+IF(AND(ISNUMBER(J15),ISNUMBER(K15)),(K15&lt;J15)*1,0)+IF(ISNUMBER(K15),(K15&gt;Lists!$K$2)*1,0)+(COUNTIF($B$2:$B$79,B15)&gt;1)+IF(S15="Not Started",(N15&gt;0)*1,IF(S15="Not Recorded",0,(N15=0)*1))+IF(AND(S15&lt;&gt;"Not Started",S15&lt;&gt;"Not Recorded"),(K15="")*1,0)+(P15="")+(G15="")+IF(G15="",0,(LEFT(G15,1)&lt;&gt;"+")*1)</f>
        <v>1</v>
      </c>
      <c r="Z15" s="47" t="n">
        <f aca="false">IF(V15=1,W15+ROW()/100000,0)</f>
        <v>0</v>
      </c>
      <c r="AA15" s="45" t="n">
        <f aca="false">IF(OR(S15="In Discussion",S15="Meeting Scheduled",S15="Partnership Active"),1,0)</f>
        <v>1</v>
      </c>
      <c r="AB15" s="45" t="n">
        <f aca="false">IF(AND(S15&lt;&gt;"Not Started",S15&lt;&gt;"Not Recorded"),1,0)</f>
        <v>1</v>
      </c>
    </row>
    <row r="16" customFormat="false" ht="15" hidden="false" customHeight="false" outlineLevel="0" collapsed="false">
      <c r="A16" s="38" t="s">
        <v>274</v>
      </c>
      <c r="B16" s="38" t="s">
        <v>275</v>
      </c>
      <c r="C16" s="38" t="s">
        <v>24</v>
      </c>
      <c r="D16" s="38" t="s">
        <v>276</v>
      </c>
      <c r="E16" s="38" t="s">
        <v>258</v>
      </c>
      <c r="F16" s="38" t="s">
        <v>277</v>
      </c>
      <c r="G16" s="38" t="s">
        <v>278</v>
      </c>
      <c r="H16" s="38" t="s">
        <v>107</v>
      </c>
      <c r="I16" s="38" t="s">
        <v>52</v>
      </c>
      <c r="J16" s="44" t="n">
        <v>46146</v>
      </c>
      <c r="K16" s="44" t="n">
        <v>46245</v>
      </c>
      <c r="L16" s="38" t="s">
        <v>26</v>
      </c>
      <c r="M16" s="38" t="s">
        <v>31</v>
      </c>
      <c r="N16" s="38" t="n">
        <v>2</v>
      </c>
      <c r="O16" s="38" t="s">
        <v>194</v>
      </c>
      <c r="P16" s="44" t="n">
        <v>46259</v>
      </c>
      <c r="Q16" s="38" t="s">
        <v>279</v>
      </c>
      <c r="R16" s="45" t="str">
        <f aca="false">IF(TRIM(C16)="","Not Recorded",IFERROR(INDEX(Lists!$B$2:$B$60,MATCH(TRIM(C16),Lists!$A$2:$A$60,0)),"Not Recorded"))</f>
        <v>Asia-Pacific</v>
      </c>
      <c r="S16" s="45" t="str">
        <f aca="false">IF(TRIM(L16)="","Not Recorded",IFERROR(INDEX(Lists!$E$2:$E$60,MATCH(TRIM(L16),Lists!$D$2:$D$60,0)),"Not Recorded"))</f>
        <v>No Response</v>
      </c>
      <c r="T16" s="45" t="str">
        <f aca="false">IF(TRIM(M16)="","Not Recorded",IFERROR(INDEX(Lists!$H$2:$H$60,MATCH(TRIM(M16),Lists!$G$2:$G$60,0)),"Not Recorded"))</f>
        <v>None</v>
      </c>
      <c r="U16" s="45" t="n">
        <f aca="false">IF(ISNUMBER(K16),Lists!$K$2-K16,"")</f>
        <v>56</v>
      </c>
      <c r="V16" s="46" t="n">
        <f aca="false">IF(AND(ISNUMBER(P16),P16&lt;Lists!$K$2,S16&lt;&gt;"On Hold"),1,0)</f>
        <v>1</v>
      </c>
      <c r="W16" s="45" t="n">
        <f aca="false">IF(V16=1,Lists!$K$2-P16,0)</f>
        <v>42</v>
      </c>
      <c r="X16" s="45" t="n">
        <f aca="false">IF(AND(ISNUMBER(K16),S16&lt;&gt;"On Hold"),IF(Lists!$K$2-K16&gt;Lists!$K$3,1,0),0)</f>
        <v>1</v>
      </c>
      <c r="Y16" s="46" t="n">
        <f aca="false">(F16="")+IF(F16="",0,ISERROR(FIND("@",F16))*1)+(D16="")+(I16="")+(R16="Not Recorded")+(S16="Not Recorded")+(T16="Not Recorded")+((ISTEXT(J16)+ISTEXT(K16)+ISTEXT(P16))&gt;0)+IF(AND(ISNUMBER(J16),ISNUMBER(K16)),(K16&lt;J16)*1,0)+IF(ISNUMBER(K16),(K16&gt;Lists!$K$2)*1,0)+(COUNTIF($B$2:$B$79,B16)&gt;1)+IF(S16="Not Started",(N16&gt;0)*1,IF(S16="Not Recorded",0,(N16=0)*1))+IF(AND(S16&lt;&gt;"Not Started",S16&lt;&gt;"Not Recorded"),(K16="")*1,0)+(P16="")+(G16="")+IF(G16="",0,(LEFT(G16,1)&lt;&gt;"+")*1)</f>
        <v>0</v>
      </c>
      <c r="Z16" s="47" t="n">
        <f aca="false">IF(V16=1,W16+ROW()/100000,0)</f>
        <v>42.00016</v>
      </c>
      <c r="AA16" s="45" t="n">
        <f aca="false">IF(OR(S16="In Discussion",S16="Meeting Scheduled",S16="Partnership Active"),1,0)</f>
        <v>0</v>
      </c>
      <c r="AB16" s="45" t="n">
        <f aca="false">IF(AND(S16&lt;&gt;"Not Started",S16&lt;&gt;"Not Recorded"),1,0)</f>
        <v>1</v>
      </c>
    </row>
    <row r="17" customFormat="false" ht="15" hidden="false" customHeight="false" outlineLevel="0" collapsed="false">
      <c r="A17" s="38" t="s">
        <v>280</v>
      </c>
      <c r="B17" s="38" t="s">
        <v>281</v>
      </c>
      <c r="C17" s="38" t="s">
        <v>27</v>
      </c>
      <c r="D17" s="38" t="s">
        <v>282</v>
      </c>
      <c r="E17" s="38" t="s">
        <v>252</v>
      </c>
      <c r="F17" s="38" t="s">
        <v>283</v>
      </c>
      <c r="G17" s="38" t="s">
        <v>284</v>
      </c>
      <c r="H17" s="38" t="s">
        <v>215</v>
      </c>
      <c r="I17" s="38" t="s">
        <v>52</v>
      </c>
      <c r="J17" s="44" t="n">
        <v>46148</v>
      </c>
      <c r="K17" s="44" t="n">
        <v>46267</v>
      </c>
      <c r="L17" s="38" t="s">
        <v>29</v>
      </c>
      <c r="M17" s="38" t="s">
        <v>25</v>
      </c>
      <c r="N17" s="38" t="n">
        <v>6</v>
      </c>
      <c r="O17" s="38" t="s">
        <v>207</v>
      </c>
      <c r="P17" s="44" t="n">
        <v>46312</v>
      </c>
      <c r="Q17" s="38" t="s">
        <v>268</v>
      </c>
      <c r="R17" s="45" t="str">
        <f aca="false">IF(TRIM(C17)="","Not Recorded",IFERROR(INDEX(Lists!$B$2:$B$60,MATCH(TRIM(C17),Lists!$A$2:$A$60,0)),"Not Recorded"))</f>
        <v>Middle East</v>
      </c>
      <c r="S17" s="45" t="str">
        <f aca="false">IF(TRIM(L17)="","Not Recorded",IFERROR(INDEX(Lists!$E$2:$E$60,MATCH(TRIM(L17),Lists!$D$2:$D$60,0)),"Not Recorded"))</f>
        <v>In Discussion</v>
      </c>
      <c r="T17" s="45" t="str">
        <f aca="false">IF(TRIM(M17)="","Not Recorded",IFERROR(INDEX(Lists!$H$2:$H$60,MATCH(TRIM(M17),Lists!$G$2:$G$60,0)),"Not Recorded"))</f>
        <v>Medium</v>
      </c>
      <c r="U17" s="45" t="n">
        <f aca="false">IF(ISNUMBER(K17),Lists!$K$2-K17,"")</f>
        <v>34</v>
      </c>
      <c r="V17" s="46" t="n">
        <f aca="false">IF(AND(ISNUMBER(P17),P17&lt;Lists!$K$2,S17&lt;&gt;"On Hold"),1,0)</f>
        <v>0</v>
      </c>
      <c r="W17" s="45" t="n">
        <f aca="false">IF(V17=1,Lists!$K$2-P17,0)</f>
        <v>0</v>
      </c>
      <c r="X17" s="45" t="n">
        <f aca="false">IF(AND(ISNUMBER(K17),S17&lt;&gt;"On Hold"),IF(Lists!$K$2-K17&gt;Lists!$K$3,1,0),0)</f>
        <v>1</v>
      </c>
      <c r="Y17" s="46" t="n">
        <f aca="false">(F17="")+IF(F17="",0,ISERROR(FIND("@",F17))*1)+(D17="")+(I17="")+(R17="Not Recorded")+(S17="Not Recorded")+(T17="Not Recorded")+((ISTEXT(J17)+ISTEXT(K17)+ISTEXT(P17))&gt;0)+IF(AND(ISNUMBER(J17),ISNUMBER(K17)),(K17&lt;J17)*1,0)+IF(ISNUMBER(K17),(K17&gt;Lists!$K$2)*1,0)+(COUNTIF($B$2:$B$79,B17)&gt;1)+IF(S17="Not Started",(N17&gt;0)*1,IF(S17="Not Recorded",0,(N17=0)*1))+IF(AND(S17&lt;&gt;"Not Started",S17&lt;&gt;"Not Recorded"),(K17="")*1,0)+(P17="")+(G17="")+IF(G17="",0,(LEFT(G17,1)&lt;&gt;"+")*1)</f>
        <v>0</v>
      </c>
      <c r="Z17" s="47" t="n">
        <f aca="false">IF(V17=1,W17+ROW()/100000,0)</f>
        <v>0</v>
      </c>
      <c r="AA17" s="45" t="n">
        <f aca="false">IF(OR(S17="In Discussion",S17="Meeting Scheduled",S17="Partnership Active"),1,0)</f>
        <v>1</v>
      </c>
      <c r="AB17" s="45" t="n">
        <f aca="false">IF(AND(S17&lt;&gt;"Not Started",S17&lt;&gt;"Not Recorded"),1,0)</f>
        <v>1</v>
      </c>
    </row>
    <row r="18" customFormat="false" ht="15" hidden="false" customHeight="false" outlineLevel="0" collapsed="false">
      <c r="A18" s="38" t="s">
        <v>285</v>
      </c>
      <c r="B18" s="38" t="s">
        <v>286</v>
      </c>
      <c r="C18" s="38" t="s">
        <v>27</v>
      </c>
      <c r="D18" s="38" t="s">
        <v>287</v>
      </c>
      <c r="E18" s="38" t="s">
        <v>183</v>
      </c>
      <c r="F18" s="38" t="s">
        <v>288</v>
      </c>
      <c r="G18" s="38"/>
      <c r="H18" s="38" t="s">
        <v>114</v>
      </c>
      <c r="I18" s="38"/>
      <c r="J18" s="44" t="n">
        <v>46195</v>
      </c>
      <c r="K18" s="44" t="n">
        <v>46276</v>
      </c>
      <c r="L18" s="38" t="s">
        <v>35</v>
      </c>
      <c r="M18" s="38" t="s">
        <v>23</v>
      </c>
      <c r="N18" s="38" t="n">
        <v>20</v>
      </c>
      <c r="O18" s="38" t="s">
        <v>242</v>
      </c>
      <c r="P18" s="38"/>
      <c r="Q18" s="38" t="s">
        <v>268</v>
      </c>
      <c r="R18" s="45" t="str">
        <f aca="false">IF(TRIM(C18)="","Not Recorded",IFERROR(INDEX(Lists!$B$2:$B$60,MATCH(TRIM(C18),Lists!$A$2:$A$60,0)),"Not Recorded"))</f>
        <v>Middle East</v>
      </c>
      <c r="S18" s="45" t="str">
        <f aca="false">IF(TRIM(L18)="","Not Recorded",IFERROR(INDEX(Lists!$E$2:$E$60,MATCH(TRIM(L18),Lists!$D$2:$D$60,0)),"Not Recorded"))</f>
        <v>Partnership Active</v>
      </c>
      <c r="T18" s="45" t="str">
        <f aca="false">IF(TRIM(M18)="","Not Recorded",IFERROR(INDEX(Lists!$H$2:$H$60,MATCH(TRIM(M18),Lists!$G$2:$G$60,0)),"Not Recorded"))</f>
        <v>High</v>
      </c>
      <c r="U18" s="45" t="n">
        <f aca="false">IF(ISNUMBER(K18),Lists!$K$2-K18,"")</f>
        <v>25</v>
      </c>
      <c r="V18" s="46" t="n">
        <f aca="false">IF(AND(ISNUMBER(P18),P18&lt;Lists!$K$2,S18&lt;&gt;"On Hold"),1,0)</f>
        <v>0</v>
      </c>
      <c r="W18" s="45" t="n">
        <f aca="false">IF(V18=1,Lists!$K$2-P18,0)</f>
        <v>0</v>
      </c>
      <c r="X18" s="45" t="n">
        <f aca="false">IF(AND(ISNUMBER(K18),S18&lt;&gt;"On Hold"),IF(Lists!$K$2-K18&gt;Lists!$K$3,1,0),0)</f>
        <v>0</v>
      </c>
      <c r="Y18" s="46" t="n">
        <f aca="false">(F18="")+IF(F18="",0,ISERROR(FIND("@",F18))*1)+(D18="")+(I18="")+(R18="Not Recorded")+(S18="Not Recorded")+(T18="Not Recorded")+((ISTEXT(J18)+ISTEXT(K18)+ISTEXT(P18))&gt;0)+IF(AND(ISNUMBER(J18),ISNUMBER(K18)),(K18&lt;J18)*1,0)+IF(ISNUMBER(K18),(K18&gt;Lists!$K$2)*1,0)+(COUNTIF($B$2:$B$79,B18)&gt;1)+IF(S18="Not Started",(N18&gt;0)*1,IF(S18="Not Recorded",0,(N18=0)*1))+IF(AND(S18&lt;&gt;"Not Started",S18&lt;&gt;"Not Recorded"),(K18="")*1,0)+(P18="")+(G18="")+IF(G18="",0,(LEFT(G18,1)&lt;&gt;"+")*1)</f>
        <v>3</v>
      </c>
      <c r="Z18" s="47" t="n">
        <f aca="false">IF(V18=1,W18+ROW()/100000,0)</f>
        <v>0</v>
      </c>
      <c r="AA18" s="45" t="n">
        <f aca="false">IF(OR(S18="In Discussion",S18="Meeting Scheduled",S18="Partnership Active"),1,0)</f>
        <v>1</v>
      </c>
      <c r="AB18" s="45" t="n">
        <f aca="false">IF(AND(S18&lt;&gt;"Not Started",S18&lt;&gt;"Not Recorded"),1,0)</f>
        <v>1</v>
      </c>
    </row>
    <row r="19" customFormat="false" ht="15" hidden="false" customHeight="false" outlineLevel="0" collapsed="false">
      <c r="A19" s="38" t="s">
        <v>289</v>
      </c>
      <c r="B19" s="38" t="s">
        <v>290</v>
      </c>
      <c r="C19" s="38" t="s">
        <v>33</v>
      </c>
      <c r="D19" s="38" t="s">
        <v>291</v>
      </c>
      <c r="E19" s="38" t="s">
        <v>190</v>
      </c>
      <c r="F19" s="38" t="s">
        <v>292</v>
      </c>
      <c r="G19" s="38" t="s">
        <v>293</v>
      </c>
      <c r="H19" s="38" t="s">
        <v>261</v>
      </c>
      <c r="I19" s="38" t="s">
        <v>46</v>
      </c>
      <c r="J19" s="38"/>
      <c r="K19" s="38"/>
      <c r="L19" s="38" t="s">
        <v>21</v>
      </c>
      <c r="M19" s="38" t="s">
        <v>31</v>
      </c>
      <c r="N19" s="38" t="n">
        <v>1</v>
      </c>
      <c r="O19" s="38" t="s">
        <v>186</v>
      </c>
      <c r="P19" s="44" t="n">
        <v>46291</v>
      </c>
      <c r="Q19" s="38" t="s">
        <v>226</v>
      </c>
      <c r="R19" s="45" t="str">
        <f aca="false">IF(TRIM(C19)="","Not Recorded",IFERROR(INDEX(Lists!$B$2:$B$60,MATCH(TRIM(C19),Lists!$A$2:$A$60,0)),"Not Recorded"))</f>
        <v>Americas</v>
      </c>
      <c r="S19" s="45" t="str">
        <f aca="false">IF(TRIM(L19)="","Not Recorded",IFERROR(INDEX(Lists!$E$2:$E$60,MATCH(TRIM(L19),Lists!$D$2:$D$60,0)),"Not Recorded"))</f>
        <v>Not Started</v>
      </c>
      <c r="T19" s="45" t="str">
        <f aca="false">IF(TRIM(M19)="","Not Recorded",IFERROR(INDEX(Lists!$H$2:$H$60,MATCH(TRIM(M19),Lists!$G$2:$G$60,0)),"Not Recorded"))</f>
        <v>None</v>
      </c>
      <c r="U19" s="45" t="str">
        <f aca="false">IF(ISNUMBER(K19),Lists!$K$2-K19,"")</f>
        <v/>
      </c>
      <c r="V19" s="46" t="n">
        <f aca="false">IF(AND(ISNUMBER(P19),P19&lt;Lists!$K$2,S19&lt;&gt;"On Hold"),1,0)</f>
        <v>1</v>
      </c>
      <c r="W19" s="45" t="n">
        <f aca="false">IF(V19=1,Lists!$K$2-P19,0)</f>
        <v>10</v>
      </c>
      <c r="X19" s="45" t="n">
        <f aca="false">IF(AND(ISNUMBER(K19),S19&lt;&gt;"On Hold"),IF(Lists!$K$2-K19&gt;Lists!$K$3,1,0),0)</f>
        <v>0</v>
      </c>
      <c r="Y19" s="46" t="n">
        <f aca="false">(F19="")+IF(F19="",0,ISERROR(FIND("@",F19))*1)+(D19="")+(I19="")+(R19="Not Recorded")+(S19="Not Recorded")+(T19="Not Recorded")+((ISTEXT(J19)+ISTEXT(K19)+ISTEXT(P19))&gt;0)+IF(AND(ISNUMBER(J19),ISNUMBER(K19)),(K19&lt;J19)*1,0)+IF(ISNUMBER(K19),(K19&gt;Lists!$K$2)*1,0)+(COUNTIF($B$2:$B$79,B19)&gt;1)+IF(S19="Not Started",(N19&gt;0)*1,IF(S19="Not Recorded",0,(N19=0)*1))+IF(AND(S19&lt;&gt;"Not Started",S19&lt;&gt;"Not Recorded"),(K19="")*1,0)+(P19="")+(G19="")+IF(G19="",0,(LEFT(G19,1)&lt;&gt;"+")*1)</f>
        <v>1</v>
      </c>
      <c r="Z19" s="47" t="n">
        <f aca="false">IF(V19=1,W19+ROW()/100000,0)</f>
        <v>10.00019</v>
      </c>
      <c r="AA19" s="45" t="n">
        <f aca="false">IF(OR(S19="In Discussion",S19="Meeting Scheduled",S19="Partnership Active"),1,0)</f>
        <v>0</v>
      </c>
      <c r="AB19" s="45" t="n">
        <f aca="false">IF(AND(S19&lt;&gt;"Not Started",S19&lt;&gt;"Not Recorded"),1,0)</f>
        <v>0</v>
      </c>
    </row>
    <row r="20" customFormat="false" ht="15" hidden="false" customHeight="false" outlineLevel="0" collapsed="false">
      <c r="A20" s="38" t="s">
        <v>294</v>
      </c>
      <c r="B20" s="38" t="s">
        <v>295</v>
      </c>
      <c r="C20" s="38" t="s">
        <v>296</v>
      </c>
      <c r="D20" s="38" t="s">
        <v>297</v>
      </c>
      <c r="E20" s="38" t="s">
        <v>212</v>
      </c>
      <c r="F20" s="38" t="s">
        <v>298</v>
      </c>
      <c r="G20" s="38" t="s">
        <v>299</v>
      </c>
      <c r="H20" s="38" t="s">
        <v>107</v>
      </c>
      <c r="I20" s="38" t="s">
        <v>48</v>
      </c>
      <c r="J20" s="44" t="n">
        <v>46247</v>
      </c>
      <c r="K20" s="44" t="n">
        <v>46247</v>
      </c>
      <c r="L20" s="38" t="s">
        <v>15</v>
      </c>
      <c r="M20" s="38" t="s">
        <v>28</v>
      </c>
      <c r="N20" s="38" t="n">
        <v>1</v>
      </c>
      <c r="O20" s="38" t="s">
        <v>234</v>
      </c>
      <c r="P20" s="44" t="n">
        <v>46259</v>
      </c>
      <c r="Q20" s="38" t="s">
        <v>226</v>
      </c>
      <c r="R20" s="45" t="str">
        <f aca="false">IF(TRIM(C20)="","Not Recorded",IFERROR(INDEX(Lists!$B$2:$B$60,MATCH(TRIM(C20),Lists!$A$2:$A$60,0)),"Not Recorded"))</f>
        <v>Africa</v>
      </c>
      <c r="S20" s="45" t="str">
        <f aca="false">IF(TRIM(L20)="","Not Recorded",IFERROR(INDEX(Lists!$E$2:$E$60,MATCH(TRIM(L20),Lists!$D$2:$D$60,0)),"Not Recorded"))</f>
        <v>Contacted</v>
      </c>
      <c r="T20" s="45" t="str">
        <f aca="false">IF(TRIM(M20)="","Not Recorded",IFERROR(INDEX(Lists!$H$2:$H$60,MATCH(TRIM(M20),Lists!$G$2:$G$60,0)),"Not Recorded"))</f>
        <v>Low</v>
      </c>
      <c r="U20" s="45" t="n">
        <f aca="false">IF(ISNUMBER(K20),Lists!$K$2-K20,"")</f>
        <v>54</v>
      </c>
      <c r="V20" s="46" t="n">
        <f aca="false">IF(AND(ISNUMBER(P20),P20&lt;Lists!$K$2,S20&lt;&gt;"On Hold"),1,0)</f>
        <v>1</v>
      </c>
      <c r="W20" s="45" t="n">
        <f aca="false">IF(V20=1,Lists!$K$2-P20,0)</f>
        <v>42</v>
      </c>
      <c r="X20" s="45" t="n">
        <f aca="false">IF(AND(ISNUMBER(K20),S20&lt;&gt;"On Hold"),IF(Lists!$K$2-K20&gt;Lists!$K$3,1,0),0)</f>
        <v>1</v>
      </c>
      <c r="Y20" s="46" t="n">
        <f aca="false">(F20="")+IF(F20="",0,ISERROR(FIND("@",F20))*1)+(D20="")+(I20="")+(R20="Not Recorded")+(S20="Not Recorded")+(T20="Not Recorded")+((ISTEXT(J20)+ISTEXT(K20)+ISTEXT(P20))&gt;0)+IF(AND(ISNUMBER(J20),ISNUMBER(K20)),(K20&lt;J20)*1,0)+IF(ISNUMBER(K20),(K20&gt;Lists!$K$2)*1,0)+(COUNTIF($B$2:$B$79,B20)&gt;1)+IF(S20="Not Started",(N20&gt;0)*1,IF(S20="Not Recorded",0,(N20=0)*1))+IF(AND(S20&lt;&gt;"Not Started",S20&lt;&gt;"Not Recorded"),(K20="")*1,0)+(P20="")+(G20="")+IF(G20="",0,(LEFT(G20,1)&lt;&gt;"+")*1)</f>
        <v>0</v>
      </c>
      <c r="Z20" s="47" t="n">
        <f aca="false">IF(V20=1,W20+ROW()/100000,0)</f>
        <v>42.0002</v>
      </c>
      <c r="AA20" s="45" t="n">
        <f aca="false">IF(OR(S20="In Discussion",S20="Meeting Scheduled",S20="Partnership Active"),1,0)</f>
        <v>0</v>
      </c>
      <c r="AB20" s="45" t="n">
        <f aca="false">IF(AND(S20&lt;&gt;"Not Started",S20&lt;&gt;"Not Recorded"),1,0)</f>
        <v>1</v>
      </c>
    </row>
    <row r="21" customFormat="false" ht="15" hidden="false" customHeight="false" outlineLevel="0" collapsed="false">
      <c r="A21" s="38" t="s">
        <v>300</v>
      </c>
      <c r="B21" s="38" t="s">
        <v>301</v>
      </c>
      <c r="C21" s="38" t="s">
        <v>302</v>
      </c>
      <c r="D21" s="38" t="s">
        <v>303</v>
      </c>
      <c r="E21" s="38" t="s">
        <v>252</v>
      </c>
      <c r="F21" s="38" t="s">
        <v>304</v>
      </c>
      <c r="G21" s="38" t="s">
        <v>305</v>
      </c>
      <c r="H21" s="38" t="s">
        <v>261</v>
      </c>
      <c r="I21" s="38" t="s">
        <v>50</v>
      </c>
      <c r="J21" s="44" t="n">
        <v>46177</v>
      </c>
      <c r="K21" s="44" t="n">
        <v>46290</v>
      </c>
      <c r="L21" s="38" t="s">
        <v>32</v>
      </c>
      <c r="M21" s="38" t="s">
        <v>23</v>
      </c>
      <c r="N21" s="38" t="n">
        <v>7</v>
      </c>
      <c r="O21" s="38" t="s">
        <v>262</v>
      </c>
      <c r="P21" s="44" t="n">
        <v>46310</v>
      </c>
      <c r="Q21" s="38"/>
      <c r="R21" s="45" t="str">
        <f aca="false">IF(TRIM(C21)="","Not Recorded",IFERROR(INDEX(Lists!$B$2:$B$60,MATCH(TRIM(C21),Lists!$A$2:$A$60,0)),"Not Recorded"))</f>
        <v>Middle East</v>
      </c>
      <c r="S21" s="45" t="str">
        <f aca="false">IF(TRIM(L21)="","Not Recorded",IFERROR(INDEX(Lists!$E$2:$E$60,MATCH(TRIM(L21),Lists!$D$2:$D$60,0)),"Not Recorded"))</f>
        <v>Meeting Scheduled</v>
      </c>
      <c r="T21" s="45" t="str">
        <f aca="false">IF(TRIM(M21)="","Not Recorded",IFERROR(INDEX(Lists!$H$2:$H$60,MATCH(TRIM(M21),Lists!$G$2:$G$60,0)),"Not Recorded"))</f>
        <v>High</v>
      </c>
      <c r="U21" s="45" t="n">
        <f aca="false">IF(ISNUMBER(K21),Lists!$K$2-K21,"")</f>
        <v>11</v>
      </c>
      <c r="V21" s="46" t="n">
        <f aca="false">IF(AND(ISNUMBER(P21),P21&lt;Lists!$K$2,S21&lt;&gt;"On Hold"),1,0)</f>
        <v>0</v>
      </c>
      <c r="W21" s="45" t="n">
        <f aca="false">IF(V21=1,Lists!$K$2-P21,0)</f>
        <v>0</v>
      </c>
      <c r="X21" s="45" t="n">
        <f aca="false">IF(AND(ISNUMBER(K21),S21&lt;&gt;"On Hold"),IF(Lists!$K$2-K21&gt;Lists!$K$3,1,0),0)</f>
        <v>0</v>
      </c>
      <c r="Y21" s="46" t="n">
        <f aca="false">(F21="")+IF(F21="",0,ISERROR(FIND("@",F21))*1)+(D21="")+(I21="")+(R21="Not Recorded")+(S21="Not Recorded")+(T21="Not Recorded")+((ISTEXT(J21)+ISTEXT(K21)+ISTEXT(P21))&gt;0)+IF(AND(ISNUMBER(J21),ISNUMBER(K21)),(K21&lt;J21)*1,0)+IF(ISNUMBER(K21),(K21&gt;Lists!$K$2)*1,0)+(COUNTIF($B$2:$B$79,B21)&gt;1)+IF(S21="Not Started",(N21&gt;0)*1,IF(S21="Not Recorded",0,(N21=0)*1))+IF(AND(S21&lt;&gt;"Not Started",S21&lt;&gt;"Not Recorded"),(K21="")*1,0)+(P21="")+(G21="")+IF(G21="",0,(LEFT(G21,1)&lt;&gt;"+")*1)</f>
        <v>1</v>
      </c>
      <c r="Z21" s="47" t="n">
        <f aca="false">IF(V21=1,W21+ROW()/100000,0)</f>
        <v>0</v>
      </c>
      <c r="AA21" s="45" t="n">
        <f aca="false">IF(OR(S21="In Discussion",S21="Meeting Scheduled",S21="Partnership Active"),1,0)</f>
        <v>1</v>
      </c>
      <c r="AB21" s="45" t="n">
        <f aca="false">IF(AND(S21&lt;&gt;"Not Started",S21&lt;&gt;"Not Recorded"),1,0)</f>
        <v>1</v>
      </c>
    </row>
    <row r="22" customFormat="false" ht="15" hidden="false" customHeight="false" outlineLevel="0" collapsed="false">
      <c r="A22" s="38" t="s">
        <v>306</v>
      </c>
      <c r="B22" s="38" t="s">
        <v>307</v>
      </c>
      <c r="C22" s="38" t="s">
        <v>22</v>
      </c>
      <c r="D22" s="38" t="s">
        <v>308</v>
      </c>
      <c r="E22" s="38" t="s">
        <v>190</v>
      </c>
      <c r="F22" s="38" t="s">
        <v>309</v>
      </c>
      <c r="G22" s="38" t="s">
        <v>310</v>
      </c>
      <c r="H22" s="38" t="s">
        <v>241</v>
      </c>
      <c r="I22" s="38" t="s">
        <v>46</v>
      </c>
      <c r="J22" s="44" t="n">
        <v>46133</v>
      </c>
      <c r="K22" s="44" t="n">
        <v>46264</v>
      </c>
      <c r="L22" s="38" t="s">
        <v>35</v>
      </c>
      <c r="M22" s="38" t="s">
        <v>25</v>
      </c>
      <c r="N22" s="38" t="n">
        <v>48</v>
      </c>
      <c r="O22" s="38" t="s">
        <v>242</v>
      </c>
      <c r="P22" s="44" t="n">
        <v>46289</v>
      </c>
      <c r="Q22" s="38"/>
      <c r="R22" s="45" t="str">
        <f aca="false">IF(TRIM(C22)="","Not Recorded",IFERROR(INDEX(Lists!$B$2:$B$60,MATCH(TRIM(C22),Lists!$A$2:$A$60,0)),"Not Recorded"))</f>
        <v>Europe</v>
      </c>
      <c r="S22" s="45" t="str">
        <f aca="false">IF(TRIM(L22)="","Not Recorded",IFERROR(INDEX(Lists!$E$2:$E$60,MATCH(TRIM(L22),Lists!$D$2:$D$60,0)),"Not Recorded"))</f>
        <v>Partnership Active</v>
      </c>
      <c r="T22" s="45" t="str">
        <f aca="false">IF(TRIM(M22)="","Not Recorded",IFERROR(INDEX(Lists!$H$2:$H$60,MATCH(TRIM(M22),Lists!$G$2:$G$60,0)),"Not Recorded"))</f>
        <v>Medium</v>
      </c>
      <c r="U22" s="45" t="n">
        <f aca="false">IF(ISNUMBER(K22),Lists!$K$2-K22,"")</f>
        <v>37</v>
      </c>
      <c r="V22" s="46" t="n">
        <f aca="false">IF(AND(ISNUMBER(P22),P22&lt;Lists!$K$2,S22&lt;&gt;"On Hold"),1,0)</f>
        <v>1</v>
      </c>
      <c r="W22" s="45" t="n">
        <f aca="false">IF(V22=1,Lists!$K$2-P22,0)</f>
        <v>12</v>
      </c>
      <c r="X22" s="45" t="n">
        <f aca="false">IF(AND(ISNUMBER(K22),S22&lt;&gt;"On Hold"),IF(Lists!$K$2-K22&gt;Lists!$K$3,1,0),0)</f>
        <v>1</v>
      </c>
      <c r="Y22" s="46" t="n">
        <f aca="false">(F22="")+IF(F22="",0,ISERROR(FIND("@",F22))*1)+(D22="")+(I22="")+(R22="Not Recorded")+(S22="Not Recorded")+(T22="Not Recorded")+((ISTEXT(J22)+ISTEXT(K22)+ISTEXT(P22))&gt;0)+IF(AND(ISNUMBER(J22),ISNUMBER(K22)),(K22&lt;J22)*1,0)+IF(ISNUMBER(K22),(K22&gt;Lists!$K$2)*1,0)+(COUNTIF($B$2:$B$79,B22)&gt;1)+IF(S22="Not Started",(N22&gt;0)*1,IF(S22="Not Recorded",0,(N22=0)*1))+IF(AND(S22&lt;&gt;"Not Started",S22&lt;&gt;"Not Recorded"),(K22="")*1,0)+(P22="")+(G22="")+IF(G22="",0,(LEFT(G22,1)&lt;&gt;"+")*1)</f>
        <v>1</v>
      </c>
      <c r="Z22" s="47" t="n">
        <f aca="false">IF(V22=1,W22+ROW()/100000,0)</f>
        <v>12.00022</v>
      </c>
      <c r="AA22" s="45" t="n">
        <f aca="false">IF(OR(S22="In Discussion",S22="Meeting Scheduled",S22="Partnership Active"),1,0)</f>
        <v>1</v>
      </c>
      <c r="AB22" s="45" t="n">
        <f aca="false">IF(AND(S22&lt;&gt;"Not Started",S22&lt;&gt;"Not Recorded"),1,0)</f>
        <v>1</v>
      </c>
    </row>
    <row r="23" customFormat="false" ht="15" hidden="false" customHeight="false" outlineLevel="0" collapsed="false">
      <c r="A23" s="38" t="s">
        <v>311</v>
      </c>
      <c r="B23" s="38" t="s">
        <v>312</v>
      </c>
      <c r="C23" s="38" t="s">
        <v>22</v>
      </c>
      <c r="D23" s="38" t="s">
        <v>313</v>
      </c>
      <c r="E23" s="38" t="s">
        <v>190</v>
      </c>
      <c r="F23" s="38" t="s">
        <v>314</v>
      </c>
      <c r="G23" s="38" t="s">
        <v>315</v>
      </c>
      <c r="H23" s="38" t="s">
        <v>241</v>
      </c>
      <c r="I23" s="38" t="s">
        <v>52</v>
      </c>
      <c r="J23" s="44" t="n">
        <v>46249</v>
      </c>
      <c r="K23" s="44" t="n">
        <v>46261</v>
      </c>
      <c r="L23" s="38" t="s">
        <v>233</v>
      </c>
      <c r="M23" s="38" t="s">
        <v>28</v>
      </c>
      <c r="N23" s="38" t="n">
        <v>2</v>
      </c>
      <c r="O23" s="38" t="s">
        <v>234</v>
      </c>
      <c r="P23" s="44" t="n">
        <v>46278</v>
      </c>
      <c r="Q23" s="38" t="s">
        <v>279</v>
      </c>
      <c r="R23" s="45" t="str">
        <f aca="false">IF(TRIM(C23)="","Not Recorded",IFERROR(INDEX(Lists!$B$2:$B$60,MATCH(TRIM(C23),Lists!$A$2:$A$60,0)),"Not Recorded"))</f>
        <v>Europe</v>
      </c>
      <c r="S23" s="45" t="str">
        <f aca="false">IF(TRIM(L23)="","Not Recorded",IFERROR(INDEX(Lists!$E$2:$E$60,MATCH(TRIM(L23),Lists!$D$2:$D$60,0)),"Not Recorded"))</f>
        <v>Contacted</v>
      </c>
      <c r="T23" s="45" t="str">
        <f aca="false">IF(TRIM(M23)="","Not Recorded",IFERROR(INDEX(Lists!$H$2:$H$60,MATCH(TRIM(M23),Lists!$G$2:$G$60,0)),"Not Recorded"))</f>
        <v>Low</v>
      </c>
      <c r="U23" s="45" t="n">
        <f aca="false">IF(ISNUMBER(K23),Lists!$K$2-K23,"")</f>
        <v>40</v>
      </c>
      <c r="V23" s="46" t="n">
        <f aca="false">IF(AND(ISNUMBER(P23),P23&lt;Lists!$K$2,S23&lt;&gt;"On Hold"),1,0)</f>
        <v>1</v>
      </c>
      <c r="W23" s="45" t="n">
        <f aca="false">IF(V23=1,Lists!$K$2-P23,0)</f>
        <v>23</v>
      </c>
      <c r="X23" s="45" t="n">
        <f aca="false">IF(AND(ISNUMBER(K23),S23&lt;&gt;"On Hold"),IF(Lists!$K$2-K23&gt;Lists!$K$3,1,0),0)</f>
        <v>1</v>
      </c>
      <c r="Y23" s="46" t="n">
        <f aca="false">(F23="")+IF(F23="",0,ISERROR(FIND("@",F23))*1)+(D23="")+(I23="")+(R23="Not Recorded")+(S23="Not Recorded")+(T23="Not Recorded")+((ISTEXT(J23)+ISTEXT(K23)+ISTEXT(P23))&gt;0)+IF(AND(ISNUMBER(J23),ISNUMBER(K23)),(K23&lt;J23)*1,0)+IF(ISNUMBER(K23),(K23&gt;Lists!$K$2)*1,0)+(COUNTIF($B$2:$B$79,B23)&gt;1)+IF(S23="Not Started",(N23&gt;0)*1,IF(S23="Not Recorded",0,(N23=0)*1))+IF(AND(S23&lt;&gt;"Not Started",S23&lt;&gt;"Not Recorded"),(K23="")*1,0)+(P23="")+(G23="")+IF(G23="",0,(LEFT(G23,1)&lt;&gt;"+")*1)</f>
        <v>0</v>
      </c>
      <c r="Z23" s="47" t="n">
        <f aca="false">IF(V23=1,W23+ROW()/100000,0)</f>
        <v>23.00023</v>
      </c>
      <c r="AA23" s="45" t="n">
        <f aca="false">IF(OR(S23="In Discussion",S23="Meeting Scheduled",S23="Partnership Active"),1,0)</f>
        <v>0</v>
      </c>
      <c r="AB23" s="45" t="n">
        <f aca="false">IF(AND(S23&lt;&gt;"Not Started",S23&lt;&gt;"Not Recorded"),1,0)</f>
        <v>1</v>
      </c>
    </row>
    <row r="24" customFormat="false" ht="15" hidden="false" customHeight="false" outlineLevel="0" collapsed="false">
      <c r="A24" s="38" t="s">
        <v>316</v>
      </c>
      <c r="B24" s="38" t="s">
        <v>317</v>
      </c>
      <c r="C24" s="38" t="s">
        <v>24</v>
      </c>
      <c r="D24" s="38" t="s">
        <v>318</v>
      </c>
      <c r="E24" s="38" t="s">
        <v>212</v>
      </c>
      <c r="F24" s="38" t="s">
        <v>319</v>
      </c>
      <c r="G24" s="38"/>
      <c r="H24" s="38" t="s">
        <v>215</v>
      </c>
      <c r="I24" s="38" t="s">
        <v>52</v>
      </c>
      <c r="J24" s="38"/>
      <c r="K24" s="38"/>
      <c r="L24" s="38" t="s">
        <v>21</v>
      </c>
      <c r="M24" s="38" t="s">
        <v>31</v>
      </c>
      <c r="N24" s="38" t="n">
        <v>0</v>
      </c>
      <c r="O24" s="38" t="s">
        <v>186</v>
      </c>
      <c r="P24" s="44" t="n">
        <v>46340</v>
      </c>
      <c r="Q24" s="38"/>
      <c r="R24" s="45" t="str">
        <f aca="false">IF(TRIM(C24)="","Not Recorded",IFERROR(INDEX(Lists!$B$2:$B$60,MATCH(TRIM(C24),Lists!$A$2:$A$60,0)),"Not Recorded"))</f>
        <v>Asia-Pacific</v>
      </c>
      <c r="S24" s="45" t="str">
        <f aca="false">IF(TRIM(L24)="","Not Recorded",IFERROR(INDEX(Lists!$E$2:$E$60,MATCH(TRIM(L24),Lists!$D$2:$D$60,0)),"Not Recorded"))</f>
        <v>Not Started</v>
      </c>
      <c r="T24" s="45" t="str">
        <f aca="false">IF(TRIM(M24)="","Not Recorded",IFERROR(INDEX(Lists!$H$2:$H$60,MATCH(TRIM(M24),Lists!$G$2:$G$60,0)),"Not Recorded"))</f>
        <v>None</v>
      </c>
      <c r="U24" s="45" t="str">
        <f aca="false">IF(ISNUMBER(K24),Lists!$K$2-K24,"")</f>
        <v/>
      </c>
      <c r="V24" s="46" t="n">
        <f aca="false">IF(AND(ISNUMBER(P24),P24&lt;Lists!$K$2,S24&lt;&gt;"On Hold"),1,0)</f>
        <v>0</v>
      </c>
      <c r="W24" s="45" t="n">
        <f aca="false">IF(V24=1,Lists!$K$2-P24,0)</f>
        <v>0</v>
      </c>
      <c r="X24" s="45" t="n">
        <f aca="false">IF(AND(ISNUMBER(K24),S24&lt;&gt;"On Hold"),IF(Lists!$K$2-K24&gt;Lists!$K$3,1,0),0)</f>
        <v>0</v>
      </c>
      <c r="Y24" s="46" t="n">
        <f aca="false">(F24="")+IF(F24="",0,ISERROR(FIND("@",F24))*1)+(D24="")+(I24="")+(R24="Not Recorded")+(S24="Not Recorded")+(T24="Not Recorded")+((ISTEXT(J24)+ISTEXT(K24)+ISTEXT(P24))&gt;0)+IF(AND(ISNUMBER(J24),ISNUMBER(K24)),(K24&lt;J24)*1,0)+IF(ISNUMBER(K24),(K24&gt;Lists!$K$2)*1,0)+(COUNTIF($B$2:$B$79,B24)&gt;1)+IF(S24="Not Started",(N24&gt;0)*1,IF(S24="Not Recorded",0,(N24=0)*1))+IF(AND(S24&lt;&gt;"Not Started",S24&lt;&gt;"Not Recorded"),(K24="")*1,0)+(P24="")+(G24="")+IF(G24="",0,(LEFT(G24,1)&lt;&gt;"+")*1)</f>
        <v>1</v>
      </c>
      <c r="Z24" s="47" t="n">
        <f aca="false">IF(V24=1,W24+ROW()/100000,0)</f>
        <v>0</v>
      </c>
      <c r="AA24" s="45" t="n">
        <f aca="false">IF(OR(S24="In Discussion",S24="Meeting Scheduled",S24="Partnership Active"),1,0)</f>
        <v>0</v>
      </c>
      <c r="AB24" s="45" t="n">
        <f aca="false">IF(AND(S24&lt;&gt;"Not Started",S24&lt;&gt;"Not Recorded"),1,0)</f>
        <v>0</v>
      </c>
    </row>
    <row r="25" customFormat="false" ht="15" hidden="false" customHeight="false" outlineLevel="0" collapsed="false">
      <c r="A25" s="38" t="s">
        <v>320</v>
      </c>
      <c r="B25" s="38" t="s">
        <v>321</v>
      </c>
      <c r="C25" s="38" t="s">
        <v>30</v>
      </c>
      <c r="D25" s="38" t="s">
        <v>322</v>
      </c>
      <c r="E25" s="38" t="s">
        <v>183</v>
      </c>
      <c r="F25" s="38" t="s">
        <v>323</v>
      </c>
      <c r="G25" s="38" t="s">
        <v>324</v>
      </c>
      <c r="H25" s="38" t="s">
        <v>215</v>
      </c>
      <c r="I25" s="38" t="s">
        <v>44</v>
      </c>
      <c r="J25" s="44" t="n">
        <v>46281</v>
      </c>
      <c r="K25" s="44" t="n">
        <v>46281</v>
      </c>
      <c r="L25" s="38"/>
      <c r="M25" s="38" t="s">
        <v>25</v>
      </c>
      <c r="N25" s="38" t="n">
        <v>1</v>
      </c>
      <c r="O25" s="38" t="s">
        <v>234</v>
      </c>
      <c r="P25" s="44" t="n">
        <v>46317</v>
      </c>
      <c r="Q25" s="38"/>
      <c r="R25" s="45" t="str">
        <f aca="false">IF(TRIM(C25)="","Not Recorded",IFERROR(INDEX(Lists!$B$2:$B$60,MATCH(TRIM(C25),Lists!$A$2:$A$60,0)),"Not Recorded"))</f>
        <v>Africa</v>
      </c>
      <c r="S25" s="45" t="str">
        <f aca="false">IF(TRIM(L25)="","Not Recorded",IFERROR(INDEX(Lists!$E$2:$E$60,MATCH(TRIM(L25),Lists!$D$2:$D$60,0)),"Not Recorded"))</f>
        <v>Not Recorded</v>
      </c>
      <c r="T25" s="45" t="str">
        <f aca="false">IF(TRIM(M25)="","Not Recorded",IFERROR(INDEX(Lists!$H$2:$H$60,MATCH(TRIM(M25),Lists!$G$2:$G$60,0)),"Not Recorded"))</f>
        <v>Medium</v>
      </c>
      <c r="U25" s="45" t="n">
        <f aca="false">IF(ISNUMBER(K25),Lists!$K$2-K25,"")</f>
        <v>20</v>
      </c>
      <c r="V25" s="46" t="n">
        <f aca="false">IF(AND(ISNUMBER(P25),P25&lt;Lists!$K$2,S25&lt;&gt;"On Hold"),1,0)</f>
        <v>0</v>
      </c>
      <c r="W25" s="45" t="n">
        <f aca="false">IF(V25=1,Lists!$K$2-P25,0)</f>
        <v>0</v>
      </c>
      <c r="X25" s="45" t="n">
        <f aca="false">IF(AND(ISNUMBER(K25),S25&lt;&gt;"On Hold"),IF(Lists!$K$2-K25&gt;Lists!$K$3,1,0),0)</f>
        <v>0</v>
      </c>
      <c r="Y25" s="46" t="n">
        <f aca="false">(F25="")+IF(F25="",0,ISERROR(FIND("@",F25))*1)+(D25="")+(I25="")+(R25="Not Recorded")+(S25="Not Recorded")+(T25="Not Recorded")+((ISTEXT(J25)+ISTEXT(K25)+ISTEXT(P25))&gt;0)+IF(AND(ISNUMBER(J25),ISNUMBER(K25)),(K25&lt;J25)*1,0)+IF(ISNUMBER(K25),(K25&gt;Lists!$K$2)*1,0)+(COUNTIF($B$2:$B$79,B25)&gt;1)+IF(S25="Not Started",(N25&gt;0)*1,IF(S25="Not Recorded",0,(N25=0)*1))+IF(AND(S25&lt;&gt;"Not Started",S25&lt;&gt;"Not Recorded"),(K25="")*1,0)+(P25="")+(G25="")+IF(G25="",0,(LEFT(G25,1)&lt;&gt;"+")*1)</f>
        <v>2</v>
      </c>
      <c r="Z25" s="47" t="n">
        <f aca="false">IF(V25=1,W25+ROW()/100000,0)</f>
        <v>0</v>
      </c>
      <c r="AA25" s="45" t="n">
        <f aca="false">IF(OR(S25="In Discussion",S25="Meeting Scheduled",S25="Partnership Active"),1,0)</f>
        <v>0</v>
      </c>
      <c r="AB25" s="45" t="n">
        <f aca="false">IF(AND(S25&lt;&gt;"Not Started",S25&lt;&gt;"Not Recorded"),1,0)</f>
        <v>0</v>
      </c>
    </row>
    <row r="26" customFormat="false" ht="15" hidden="false" customHeight="false" outlineLevel="0" collapsed="false">
      <c r="A26" s="38" t="s">
        <v>325</v>
      </c>
      <c r="B26" s="38" t="s">
        <v>326</v>
      </c>
      <c r="C26" s="38" t="s">
        <v>33</v>
      </c>
      <c r="D26" s="38" t="s">
        <v>223</v>
      </c>
      <c r="E26" s="38" t="s">
        <v>183</v>
      </c>
      <c r="F26" s="38" t="s">
        <v>327</v>
      </c>
      <c r="G26" s="38" t="s">
        <v>328</v>
      </c>
      <c r="H26" s="38" t="s">
        <v>114</v>
      </c>
      <c r="I26" s="38" t="s">
        <v>48</v>
      </c>
      <c r="J26" s="44" t="n">
        <v>46065</v>
      </c>
      <c r="K26" s="44" t="n">
        <v>46177</v>
      </c>
      <c r="L26" s="38" t="s">
        <v>26</v>
      </c>
      <c r="M26" s="38" t="s">
        <v>28</v>
      </c>
      <c r="N26" s="38" t="n">
        <v>2</v>
      </c>
      <c r="O26" s="38" t="s">
        <v>194</v>
      </c>
      <c r="P26" s="44" t="n">
        <v>46222</v>
      </c>
      <c r="Q26" s="38" t="s">
        <v>329</v>
      </c>
      <c r="R26" s="45" t="str">
        <f aca="false">IF(TRIM(C26)="","Not Recorded",IFERROR(INDEX(Lists!$B$2:$B$60,MATCH(TRIM(C26),Lists!$A$2:$A$60,0)),"Not Recorded"))</f>
        <v>Americas</v>
      </c>
      <c r="S26" s="45" t="str">
        <f aca="false">IF(TRIM(L26)="","Not Recorded",IFERROR(INDEX(Lists!$E$2:$E$60,MATCH(TRIM(L26),Lists!$D$2:$D$60,0)),"Not Recorded"))</f>
        <v>No Response</v>
      </c>
      <c r="T26" s="45" t="str">
        <f aca="false">IF(TRIM(M26)="","Not Recorded",IFERROR(INDEX(Lists!$H$2:$H$60,MATCH(TRIM(M26),Lists!$G$2:$G$60,0)),"Not Recorded"))</f>
        <v>Low</v>
      </c>
      <c r="U26" s="45" t="n">
        <f aca="false">IF(ISNUMBER(K26),Lists!$K$2-K26,"")</f>
        <v>124</v>
      </c>
      <c r="V26" s="46" t="n">
        <f aca="false">IF(AND(ISNUMBER(P26),P26&lt;Lists!$K$2,S26&lt;&gt;"On Hold"),1,0)</f>
        <v>1</v>
      </c>
      <c r="W26" s="45" t="n">
        <f aca="false">IF(V26=1,Lists!$K$2-P26,0)</f>
        <v>79</v>
      </c>
      <c r="X26" s="45" t="n">
        <f aca="false">IF(AND(ISNUMBER(K26),S26&lt;&gt;"On Hold"),IF(Lists!$K$2-K26&gt;Lists!$K$3,1,0),0)</f>
        <v>1</v>
      </c>
      <c r="Y26" s="46" t="n">
        <f aca="false">(F26="")+IF(F26="",0,ISERROR(FIND("@",F26))*1)+(D26="")+(I26="")+(R26="Not Recorded")+(S26="Not Recorded")+(T26="Not Recorded")+((ISTEXT(J26)+ISTEXT(K26)+ISTEXT(P26))&gt;0)+IF(AND(ISNUMBER(J26),ISNUMBER(K26)),(K26&lt;J26)*1,0)+IF(ISNUMBER(K26),(K26&gt;Lists!$K$2)*1,0)+(COUNTIF($B$2:$B$79,B26)&gt;1)+IF(S26="Not Started",(N26&gt;0)*1,IF(S26="Not Recorded",0,(N26=0)*1))+IF(AND(S26&lt;&gt;"Not Started",S26&lt;&gt;"Not Recorded"),(K26="")*1,0)+(P26="")+(G26="")+IF(G26="",0,(LEFT(G26,1)&lt;&gt;"+")*1)</f>
        <v>0</v>
      </c>
      <c r="Z26" s="47" t="n">
        <f aca="false">IF(V26=1,W26+ROW()/100000,0)</f>
        <v>79.00026</v>
      </c>
      <c r="AA26" s="45" t="n">
        <f aca="false">IF(OR(S26="In Discussion",S26="Meeting Scheduled",S26="Partnership Active"),1,0)</f>
        <v>0</v>
      </c>
      <c r="AB26" s="45" t="n">
        <f aca="false">IF(AND(S26&lt;&gt;"Not Started",S26&lt;&gt;"Not Recorded"),1,0)</f>
        <v>1</v>
      </c>
    </row>
    <row r="27" customFormat="false" ht="15" hidden="false" customHeight="false" outlineLevel="0" collapsed="false">
      <c r="A27" s="38" t="s">
        <v>330</v>
      </c>
      <c r="B27" s="38" t="s">
        <v>331</v>
      </c>
      <c r="C27" s="38" t="s">
        <v>24</v>
      </c>
      <c r="D27" s="38" t="s">
        <v>332</v>
      </c>
      <c r="E27" s="38" t="s">
        <v>252</v>
      </c>
      <c r="F27" s="38" t="s">
        <v>333</v>
      </c>
      <c r="G27" s="38"/>
      <c r="H27" s="38" t="s">
        <v>107</v>
      </c>
      <c r="I27" s="38" t="s">
        <v>46</v>
      </c>
      <c r="J27" s="44" t="n">
        <v>46154</v>
      </c>
      <c r="K27" s="44" t="n">
        <v>46131</v>
      </c>
      <c r="L27" s="38" t="s">
        <v>15</v>
      </c>
      <c r="M27" s="38" t="s">
        <v>28</v>
      </c>
      <c r="N27" s="38" t="n">
        <v>2</v>
      </c>
      <c r="O27" s="38" t="s">
        <v>234</v>
      </c>
      <c r="P27" s="44" t="n">
        <v>46308</v>
      </c>
      <c r="Q27" s="38"/>
      <c r="R27" s="45" t="str">
        <f aca="false">IF(TRIM(C27)="","Not Recorded",IFERROR(INDEX(Lists!$B$2:$B$60,MATCH(TRIM(C27),Lists!$A$2:$A$60,0)),"Not Recorded"))</f>
        <v>Asia-Pacific</v>
      </c>
      <c r="S27" s="45" t="str">
        <f aca="false">IF(TRIM(L27)="","Not Recorded",IFERROR(INDEX(Lists!$E$2:$E$60,MATCH(TRIM(L27),Lists!$D$2:$D$60,0)),"Not Recorded"))</f>
        <v>Contacted</v>
      </c>
      <c r="T27" s="45" t="str">
        <f aca="false">IF(TRIM(M27)="","Not Recorded",IFERROR(INDEX(Lists!$H$2:$H$60,MATCH(TRIM(M27),Lists!$G$2:$G$60,0)),"Not Recorded"))</f>
        <v>Low</v>
      </c>
      <c r="U27" s="45" t="n">
        <f aca="false">IF(ISNUMBER(K27),Lists!$K$2-K27,"")</f>
        <v>170</v>
      </c>
      <c r="V27" s="46" t="n">
        <f aca="false">IF(AND(ISNUMBER(P27),P27&lt;Lists!$K$2,S27&lt;&gt;"On Hold"),1,0)</f>
        <v>0</v>
      </c>
      <c r="W27" s="45" t="n">
        <f aca="false">IF(V27=1,Lists!$K$2-P27,0)</f>
        <v>0</v>
      </c>
      <c r="X27" s="45" t="n">
        <f aca="false">IF(AND(ISNUMBER(K27),S27&lt;&gt;"On Hold"),IF(Lists!$K$2-K27&gt;Lists!$K$3,1,0),0)</f>
        <v>1</v>
      </c>
      <c r="Y27" s="46" t="n">
        <f aca="false">(F27="")+IF(F27="",0,ISERROR(FIND("@",F27))*1)+(D27="")+(I27="")+(R27="Not Recorded")+(S27="Not Recorded")+(T27="Not Recorded")+((ISTEXT(J27)+ISTEXT(K27)+ISTEXT(P27))&gt;0)+IF(AND(ISNUMBER(J27),ISNUMBER(K27)),(K27&lt;J27)*1,0)+IF(ISNUMBER(K27),(K27&gt;Lists!$K$2)*1,0)+(COUNTIF($B$2:$B$79,B27)&gt;1)+IF(S27="Not Started",(N27&gt;0)*1,IF(S27="Not Recorded",0,(N27=0)*1))+IF(AND(S27&lt;&gt;"Not Started",S27&lt;&gt;"Not Recorded"),(K27="")*1,0)+(P27="")+(G27="")+IF(G27="",0,(LEFT(G27,1)&lt;&gt;"+")*1)</f>
        <v>2</v>
      </c>
      <c r="Z27" s="47" t="n">
        <f aca="false">IF(V27=1,W27+ROW()/100000,0)</f>
        <v>0</v>
      </c>
      <c r="AA27" s="45" t="n">
        <f aca="false">IF(OR(S27="In Discussion",S27="Meeting Scheduled",S27="Partnership Active"),1,0)</f>
        <v>0</v>
      </c>
      <c r="AB27" s="45" t="n">
        <f aca="false">IF(AND(S27&lt;&gt;"Not Started",S27&lt;&gt;"Not Recorded"),1,0)</f>
        <v>1</v>
      </c>
    </row>
    <row r="28" customFormat="false" ht="15" hidden="false" customHeight="false" outlineLevel="0" collapsed="false">
      <c r="A28" s="38" t="s">
        <v>334</v>
      </c>
      <c r="B28" s="38" t="s">
        <v>335</v>
      </c>
      <c r="C28" s="38" t="s">
        <v>27</v>
      </c>
      <c r="D28" s="38" t="s">
        <v>336</v>
      </c>
      <c r="E28" s="38" t="s">
        <v>212</v>
      </c>
      <c r="F28" s="38" t="s">
        <v>337</v>
      </c>
      <c r="G28" s="38" t="s">
        <v>338</v>
      </c>
      <c r="H28" s="38" t="s">
        <v>261</v>
      </c>
      <c r="I28" s="38" t="s">
        <v>52</v>
      </c>
      <c r="J28" s="44" t="n">
        <v>46169</v>
      </c>
      <c r="K28" s="44" t="n">
        <v>46286</v>
      </c>
      <c r="L28" s="38" t="s">
        <v>29</v>
      </c>
      <c r="M28" s="38"/>
      <c r="N28" s="38" t="n">
        <v>0</v>
      </c>
      <c r="O28" s="38" t="s">
        <v>207</v>
      </c>
      <c r="P28" s="44" t="n">
        <v>46320</v>
      </c>
      <c r="Q28" s="38" t="s">
        <v>208</v>
      </c>
      <c r="R28" s="45" t="str">
        <f aca="false">IF(TRIM(C28)="","Not Recorded",IFERROR(INDEX(Lists!$B$2:$B$60,MATCH(TRIM(C28),Lists!$A$2:$A$60,0)),"Not Recorded"))</f>
        <v>Middle East</v>
      </c>
      <c r="S28" s="45" t="str">
        <f aca="false">IF(TRIM(L28)="","Not Recorded",IFERROR(INDEX(Lists!$E$2:$E$60,MATCH(TRIM(L28),Lists!$D$2:$D$60,0)),"Not Recorded"))</f>
        <v>In Discussion</v>
      </c>
      <c r="T28" s="45" t="str">
        <f aca="false">IF(TRIM(M28)="","Not Recorded",IFERROR(INDEX(Lists!$H$2:$H$60,MATCH(TRIM(M28),Lists!$G$2:$G$60,0)),"Not Recorded"))</f>
        <v>Not Recorded</v>
      </c>
      <c r="U28" s="45" t="n">
        <f aca="false">IF(ISNUMBER(K28),Lists!$K$2-K28,"")</f>
        <v>15</v>
      </c>
      <c r="V28" s="46" t="n">
        <f aca="false">IF(AND(ISNUMBER(P28),P28&lt;Lists!$K$2,S28&lt;&gt;"On Hold"),1,0)</f>
        <v>0</v>
      </c>
      <c r="W28" s="45" t="n">
        <f aca="false">IF(V28=1,Lists!$K$2-P28,0)</f>
        <v>0</v>
      </c>
      <c r="X28" s="45" t="n">
        <f aca="false">IF(AND(ISNUMBER(K28),S28&lt;&gt;"On Hold"),IF(Lists!$K$2-K28&gt;Lists!$K$3,1,0),0)</f>
        <v>0</v>
      </c>
      <c r="Y28" s="46" t="n">
        <f aca="false">(F28="")+IF(F28="",0,ISERROR(FIND("@",F28))*1)+(D28="")+(I28="")+(R28="Not Recorded")+(S28="Not Recorded")+(T28="Not Recorded")+((ISTEXT(J28)+ISTEXT(K28)+ISTEXT(P28))&gt;0)+IF(AND(ISNUMBER(J28),ISNUMBER(K28)),(K28&lt;J28)*1,0)+IF(ISNUMBER(K28),(K28&gt;Lists!$K$2)*1,0)+(COUNTIF($B$2:$B$79,B28)&gt;1)+IF(S28="Not Started",(N28&gt;0)*1,IF(S28="Not Recorded",0,(N28=0)*1))+IF(AND(S28&lt;&gt;"Not Started",S28&lt;&gt;"Not Recorded"),(K28="")*1,0)+(P28="")+(G28="")+IF(G28="",0,(LEFT(G28,1)&lt;&gt;"+")*1)</f>
        <v>2</v>
      </c>
      <c r="Z28" s="47" t="n">
        <f aca="false">IF(V28=1,W28+ROW()/100000,0)</f>
        <v>0</v>
      </c>
      <c r="AA28" s="45" t="n">
        <f aca="false">IF(OR(S28="In Discussion",S28="Meeting Scheduled",S28="Partnership Active"),1,0)</f>
        <v>1</v>
      </c>
      <c r="AB28" s="45" t="n">
        <f aca="false">IF(AND(S28&lt;&gt;"Not Started",S28&lt;&gt;"Not Recorded"),1,0)</f>
        <v>1</v>
      </c>
    </row>
    <row r="29" customFormat="false" ht="15" hidden="false" customHeight="false" outlineLevel="0" collapsed="false">
      <c r="A29" s="38" t="s">
        <v>339</v>
      </c>
      <c r="B29" s="38" t="s">
        <v>340</v>
      </c>
      <c r="C29" s="38" t="s">
        <v>27</v>
      </c>
      <c r="D29" s="38" t="s">
        <v>291</v>
      </c>
      <c r="E29" s="38" t="s">
        <v>258</v>
      </c>
      <c r="F29" s="38" t="s">
        <v>341</v>
      </c>
      <c r="G29" s="38" t="s">
        <v>342</v>
      </c>
      <c r="H29" s="38" t="s">
        <v>261</v>
      </c>
      <c r="I29" s="38" t="s">
        <v>52</v>
      </c>
      <c r="J29" s="44" t="n">
        <v>46226</v>
      </c>
      <c r="K29" s="44" t="n">
        <v>46226</v>
      </c>
      <c r="L29" s="38" t="s">
        <v>26</v>
      </c>
      <c r="M29" s="38" t="s">
        <v>28</v>
      </c>
      <c r="N29" s="38" t="n">
        <v>1</v>
      </c>
      <c r="O29" s="38" t="s">
        <v>194</v>
      </c>
      <c r="P29" s="44" t="n">
        <v>46264</v>
      </c>
      <c r="Q29" s="38" t="s">
        <v>226</v>
      </c>
      <c r="R29" s="45" t="str">
        <f aca="false">IF(TRIM(C29)="","Not Recorded",IFERROR(INDEX(Lists!$B$2:$B$60,MATCH(TRIM(C29),Lists!$A$2:$A$60,0)),"Not Recorded"))</f>
        <v>Middle East</v>
      </c>
      <c r="S29" s="45" t="str">
        <f aca="false">IF(TRIM(L29)="","Not Recorded",IFERROR(INDEX(Lists!$E$2:$E$60,MATCH(TRIM(L29),Lists!$D$2:$D$60,0)),"Not Recorded"))</f>
        <v>No Response</v>
      </c>
      <c r="T29" s="45" t="str">
        <f aca="false">IF(TRIM(M29)="","Not Recorded",IFERROR(INDEX(Lists!$H$2:$H$60,MATCH(TRIM(M29),Lists!$G$2:$G$60,0)),"Not Recorded"))</f>
        <v>Low</v>
      </c>
      <c r="U29" s="45" t="n">
        <f aca="false">IF(ISNUMBER(K29),Lists!$K$2-K29,"")</f>
        <v>75</v>
      </c>
      <c r="V29" s="46" t="n">
        <f aca="false">IF(AND(ISNUMBER(P29),P29&lt;Lists!$K$2,S29&lt;&gt;"On Hold"),1,0)</f>
        <v>1</v>
      </c>
      <c r="W29" s="45" t="n">
        <f aca="false">IF(V29=1,Lists!$K$2-P29,0)</f>
        <v>37</v>
      </c>
      <c r="X29" s="45" t="n">
        <f aca="false">IF(AND(ISNUMBER(K29),S29&lt;&gt;"On Hold"),IF(Lists!$K$2-K29&gt;Lists!$K$3,1,0),0)</f>
        <v>1</v>
      </c>
      <c r="Y29" s="46" t="n">
        <f aca="false">(F29="")+IF(F29="",0,ISERROR(FIND("@",F29))*1)+(D29="")+(I29="")+(R29="Not Recorded")+(S29="Not Recorded")+(T29="Not Recorded")+((ISTEXT(J29)+ISTEXT(K29)+ISTEXT(P29))&gt;0)+IF(AND(ISNUMBER(J29),ISNUMBER(K29)),(K29&lt;J29)*1,0)+IF(ISNUMBER(K29),(K29&gt;Lists!$K$2)*1,0)+(COUNTIF($B$2:$B$79,B29)&gt;1)+IF(S29="Not Started",(N29&gt;0)*1,IF(S29="Not Recorded",0,(N29=0)*1))+IF(AND(S29&lt;&gt;"Not Started",S29&lt;&gt;"Not Recorded"),(K29="")*1,0)+(P29="")+(G29="")+IF(G29="",0,(LEFT(G29,1)&lt;&gt;"+")*1)</f>
        <v>0</v>
      </c>
      <c r="Z29" s="47" t="n">
        <f aca="false">IF(V29=1,W29+ROW()/100000,0)</f>
        <v>37.00029</v>
      </c>
      <c r="AA29" s="45" t="n">
        <f aca="false">IF(OR(S29="In Discussion",S29="Meeting Scheduled",S29="Partnership Active"),1,0)</f>
        <v>0</v>
      </c>
      <c r="AB29" s="45" t="n">
        <f aca="false">IF(AND(S29&lt;&gt;"Not Started",S29&lt;&gt;"Not Recorded"),1,0)</f>
        <v>1</v>
      </c>
    </row>
    <row r="30" customFormat="false" ht="15" hidden="false" customHeight="false" outlineLevel="0" collapsed="false">
      <c r="A30" s="38" t="s">
        <v>343</v>
      </c>
      <c r="B30" s="38" t="s">
        <v>344</v>
      </c>
      <c r="C30" s="38" t="s">
        <v>33</v>
      </c>
      <c r="D30" s="38" t="s">
        <v>345</v>
      </c>
      <c r="E30" s="38" t="s">
        <v>238</v>
      </c>
      <c r="F30" s="38" t="s">
        <v>346</v>
      </c>
      <c r="G30" s="38" t="s">
        <v>347</v>
      </c>
      <c r="H30" s="38" t="s">
        <v>261</v>
      </c>
      <c r="I30" s="38" t="s">
        <v>52</v>
      </c>
      <c r="J30" s="44" t="n">
        <v>46186</v>
      </c>
      <c r="K30" s="44" t="n">
        <v>46249</v>
      </c>
      <c r="L30" s="38" t="s">
        <v>26</v>
      </c>
      <c r="M30" s="38" t="s">
        <v>31</v>
      </c>
      <c r="N30" s="38" t="n">
        <v>3</v>
      </c>
      <c r="O30" s="38" t="s">
        <v>194</v>
      </c>
      <c r="P30" s="44" t="n">
        <v>46299</v>
      </c>
      <c r="Q30" s="38" t="s">
        <v>348</v>
      </c>
      <c r="R30" s="45" t="str">
        <f aca="false">IF(TRIM(C30)="","Not Recorded",IFERROR(INDEX(Lists!$B$2:$B$60,MATCH(TRIM(C30),Lists!$A$2:$A$60,0)),"Not Recorded"))</f>
        <v>Americas</v>
      </c>
      <c r="S30" s="45" t="str">
        <f aca="false">IF(TRIM(L30)="","Not Recorded",IFERROR(INDEX(Lists!$E$2:$E$60,MATCH(TRIM(L30),Lists!$D$2:$D$60,0)),"Not Recorded"))</f>
        <v>No Response</v>
      </c>
      <c r="T30" s="45" t="str">
        <f aca="false">IF(TRIM(M30)="","Not Recorded",IFERROR(INDEX(Lists!$H$2:$H$60,MATCH(TRIM(M30),Lists!$G$2:$G$60,0)),"Not Recorded"))</f>
        <v>None</v>
      </c>
      <c r="U30" s="45" t="n">
        <f aca="false">IF(ISNUMBER(K30),Lists!$K$2-K30,"")</f>
        <v>52</v>
      </c>
      <c r="V30" s="46" t="n">
        <f aca="false">IF(AND(ISNUMBER(P30),P30&lt;Lists!$K$2,S30&lt;&gt;"On Hold"),1,0)</f>
        <v>1</v>
      </c>
      <c r="W30" s="45" t="n">
        <f aca="false">IF(V30=1,Lists!$K$2-P30,0)</f>
        <v>2</v>
      </c>
      <c r="X30" s="45" t="n">
        <f aca="false">IF(AND(ISNUMBER(K30),S30&lt;&gt;"On Hold"),IF(Lists!$K$2-K30&gt;Lists!$K$3,1,0),0)</f>
        <v>1</v>
      </c>
      <c r="Y30" s="46" t="n">
        <f aca="false">(F30="")+IF(F30="",0,ISERROR(FIND("@",F30))*1)+(D30="")+(I30="")+(R30="Not Recorded")+(S30="Not Recorded")+(T30="Not Recorded")+((ISTEXT(J30)+ISTEXT(K30)+ISTEXT(P30))&gt;0)+IF(AND(ISNUMBER(J30),ISNUMBER(K30)),(K30&lt;J30)*1,0)+IF(ISNUMBER(K30),(K30&gt;Lists!$K$2)*1,0)+(COUNTIF($B$2:$B$79,B30)&gt;1)+IF(S30="Not Started",(N30&gt;0)*1,IF(S30="Not Recorded",0,(N30=0)*1))+IF(AND(S30&lt;&gt;"Not Started",S30&lt;&gt;"Not Recorded"),(K30="")*1,0)+(P30="")+(G30="")+IF(G30="",0,(LEFT(G30,1)&lt;&gt;"+")*1)</f>
        <v>0</v>
      </c>
      <c r="Z30" s="47" t="n">
        <f aca="false">IF(V30=1,W30+ROW()/100000,0)</f>
        <v>2.0003</v>
      </c>
      <c r="AA30" s="45" t="n">
        <f aca="false">IF(OR(S30="In Discussion",S30="Meeting Scheduled",S30="Partnership Active"),1,0)</f>
        <v>0</v>
      </c>
      <c r="AB30" s="45" t="n">
        <f aca="false">IF(AND(S30&lt;&gt;"Not Started",S30&lt;&gt;"Not Recorded"),1,0)</f>
        <v>1</v>
      </c>
    </row>
    <row r="31" customFormat="false" ht="15" hidden="false" customHeight="false" outlineLevel="0" collapsed="false">
      <c r="A31" s="38" t="s">
        <v>349</v>
      </c>
      <c r="B31" s="38" t="s">
        <v>350</v>
      </c>
      <c r="C31" s="38" t="s">
        <v>24</v>
      </c>
      <c r="D31" s="38" t="s">
        <v>351</v>
      </c>
      <c r="E31" s="38" t="s">
        <v>198</v>
      </c>
      <c r="F31" s="38"/>
      <c r="G31" s="38" t="s">
        <v>352</v>
      </c>
      <c r="H31" s="38" t="s">
        <v>215</v>
      </c>
      <c r="I31" s="38" t="s">
        <v>44</v>
      </c>
      <c r="J31" s="44" t="n">
        <v>46141</v>
      </c>
      <c r="K31" s="44" t="n">
        <v>46290</v>
      </c>
      <c r="L31" s="38" t="s">
        <v>29</v>
      </c>
      <c r="M31" s="38" t="s">
        <v>25</v>
      </c>
      <c r="N31" s="38" t="n">
        <v>8</v>
      </c>
      <c r="O31" s="38" t="s">
        <v>207</v>
      </c>
      <c r="P31" s="44" t="n">
        <v>46302</v>
      </c>
      <c r="Q31" s="38"/>
      <c r="R31" s="45" t="str">
        <f aca="false">IF(TRIM(C31)="","Not Recorded",IFERROR(INDEX(Lists!$B$2:$B$60,MATCH(TRIM(C31),Lists!$A$2:$A$60,0)),"Not Recorded"))</f>
        <v>Asia-Pacific</v>
      </c>
      <c r="S31" s="45" t="str">
        <f aca="false">IF(TRIM(L31)="","Not Recorded",IFERROR(INDEX(Lists!$E$2:$E$60,MATCH(TRIM(L31),Lists!$D$2:$D$60,0)),"Not Recorded"))</f>
        <v>In Discussion</v>
      </c>
      <c r="T31" s="45" t="str">
        <f aca="false">IF(TRIM(M31)="","Not Recorded",IFERROR(INDEX(Lists!$H$2:$H$60,MATCH(TRIM(M31),Lists!$G$2:$G$60,0)),"Not Recorded"))</f>
        <v>Medium</v>
      </c>
      <c r="U31" s="45" t="n">
        <f aca="false">IF(ISNUMBER(K31),Lists!$K$2-K31,"")</f>
        <v>11</v>
      </c>
      <c r="V31" s="46" t="n">
        <f aca="false">IF(AND(ISNUMBER(P31),P31&lt;Lists!$K$2,S31&lt;&gt;"On Hold"),1,0)</f>
        <v>0</v>
      </c>
      <c r="W31" s="45" t="n">
        <f aca="false">IF(V31=1,Lists!$K$2-P31,0)</f>
        <v>0</v>
      </c>
      <c r="X31" s="45" t="n">
        <f aca="false">IF(AND(ISNUMBER(K31),S31&lt;&gt;"On Hold"),IF(Lists!$K$2-K31&gt;Lists!$K$3,1,0),0)</f>
        <v>0</v>
      </c>
      <c r="Y31" s="46" t="n">
        <f aca="false">(F31="")+IF(F31="",0,ISERROR(FIND("@",F31))*1)+(D31="")+(I31="")+(R31="Not Recorded")+(S31="Not Recorded")+(T31="Not Recorded")+((ISTEXT(J31)+ISTEXT(K31)+ISTEXT(P31))&gt;0)+IF(AND(ISNUMBER(J31),ISNUMBER(K31)),(K31&lt;J31)*1,0)+IF(ISNUMBER(K31),(K31&gt;Lists!$K$2)*1,0)+(COUNTIF($B$2:$B$79,B31)&gt;1)+IF(S31="Not Started",(N31&gt;0)*1,IF(S31="Not Recorded",0,(N31=0)*1))+IF(AND(S31&lt;&gt;"Not Started",S31&lt;&gt;"Not Recorded"),(K31="")*1,0)+(P31="")+(G31="")+IF(G31="",0,(LEFT(G31,1)&lt;&gt;"+")*1)</f>
        <v>1</v>
      </c>
      <c r="Z31" s="47" t="n">
        <f aca="false">IF(V31=1,W31+ROW()/100000,0)</f>
        <v>0</v>
      </c>
      <c r="AA31" s="45" t="n">
        <f aca="false">IF(OR(S31="In Discussion",S31="Meeting Scheduled",S31="Partnership Active"),1,0)</f>
        <v>1</v>
      </c>
      <c r="AB31" s="45" t="n">
        <f aca="false">IF(AND(S31&lt;&gt;"Not Started",S31&lt;&gt;"Not Recorded"),1,0)</f>
        <v>1</v>
      </c>
    </row>
    <row r="32" customFormat="false" ht="15" hidden="false" customHeight="false" outlineLevel="0" collapsed="false">
      <c r="A32" s="38" t="s">
        <v>353</v>
      </c>
      <c r="B32" s="38" t="s">
        <v>354</v>
      </c>
      <c r="C32" s="38" t="s">
        <v>33</v>
      </c>
      <c r="D32" s="38" t="s">
        <v>355</v>
      </c>
      <c r="E32" s="38" t="s">
        <v>183</v>
      </c>
      <c r="F32" s="38" t="s">
        <v>356</v>
      </c>
      <c r="G32" s="38" t="s">
        <v>357</v>
      </c>
      <c r="H32" s="38" t="s">
        <v>261</v>
      </c>
      <c r="I32" s="38" t="s">
        <v>50</v>
      </c>
      <c r="J32" s="44" t="n">
        <v>46237</v>
      </c>
      <c r="K32" s="44" t="n">
        <v>46265</v>
      </c>
      <c r="L32" s="38" t="s">
        <v>15</v>
      </c>
      <c r="M32" s="38" t="s">
        <v>28</v>
      </c>
      <c r="N32" s="38" t="n">
        <v>2</v>
      </c>
      <c r="O32" s="38" t="s">
        <v>234</v>
      </c>
      <c r="P32" s="44" t="n">
        <v>46311</v>
      </c>
      <c r="Q32" s="38"/>
      <c r="R32" s="45" t="str">
        <f aca="false">IF(TRIM(C32)="","Not Recorded",IFERROR(INDEX(Lists!$B$2:$B$60,MATCH(TRIM(C32),Lists!$A$2:$A$60,0)),"Not Recorded"))</f>
        <v>Americas</v>
      </c>
      <c r="S32" s="45" t="str">
        <f aca="false">IF(TRIM(L32)="","Not Recorded",IFERROR(INDEX(Lists!$E$2:$E$60,MATCH(TRIM(L32),Lists!$D$2:$D$60,0)),"Not Recorded"))</f>
        <v>Contacted</v>
      </c>
      <c r="T32" s="45" t="str">
        <f aca="false">IF(TRIM(M32)="","Not Recorded",IFERROR(INDEX(Lists!$H$2:$H$60,MATCH(TRIM(M32),Lists!$G$2:$G$60,0)),"Not Recorded"))</f>
        <v>Low</v>
      </c>
      <c r="U32" s="45" t="n">
        <f aca="false">IF(ISNUMBER(K32),Lists!$K$2-K32,"")</f>
        <v>36</v>
      </c>
      <c r="V32" s="46" t="n">
        <f aca="false">IF(AND(ISNUMBER(P32),P32&lt;Lists!$K$2,S32&lt;&gt;"On Hold"),1,0)</f>
        <v>0</v>
      </c>
      <c r="W32" s="45" t="n">
        <f aca="false">IF(V32=1,Lists!$K$2-P32,0)</f>
        <v>0</v>
      </c>
      <c r="X32" s="45" t="n">
        <f aca="false">IF(AND(ISNUMBER(K32),S32&lt;&gt;"On Hold"),IF(Lists!$K$2-K32&gt;Lists!$K$3,1,0),0)</f>
        <v>1</v>
      </c>
      <c r="Y32" s="46" t="n">
        <f aca="false">(F32="")+IF(F32="",0,ISERROR(FIND("@",F32))*1)+(D32="")+(I32="")+(R32="Not Recorded")+(S32="Not Recorded")+(T32="Not Recorded")+((ISTEXT(J32)+ISTEXT(K32)+ISTEXT(P32))&gt;0)+IF(AND(ISNUMBER(J32),ISNUMBER(K32)),(K32&lt;J32)*1,0)+IF(ISNUMBER(K32),(K32&gt;Lists!$K$2)*1,0)+(COUNTIF($B$2:$B$79,B32)&gt;1)+IF(S32="Not Started",(N32&gt;0)*1,IF(S32="Not Recorded",0,(N32=0)*1))+IF(AND(S32&lt;&gt;"Not Started",S32&lt;&gt;"Not Recorded"),(K32="")*1,0)+(P32="")+(G32="")+IF(G32="",0,(LEFT(G32,1)&lt;&gt;"+")*1)</f>
        <v>0</v>
      </c>
      <c r="Z32" s="47" t="n">
        <f aca="false">IF(V32=1,W32+ROW()/100000,0)</f>
        <v>0</v>
      </c>
      <c r="AA32" s="45" t="n">
        <f aca="false">IF(OR(S32="In Discussion",S32="Meeting Scheduled",S32="Partnership Active"),1,0)</f>
        <v>0</v>
      </c>
      <c r="AB32" s="45" t="n">
        <f aca="false">IF(AND(S32&lt;&gt;"Not Started",S32&lt;&gt;"Not Recorded"),1,0)</f>
        <v>1</v>
      </c>
    </row>
    <row r="33" customFormat="false" ht="15" hidden="false" customHeight="false" outlineLevel="0" collapsed="false">
      <c r="A33" s="38" t="s">
        <v>358</v>
      </c>
      <c r="B33" s="38" t="s">
        <v>359</v>
      </c>
      <c r="C33" s="38" t="s">
        <v>33</v>
      </c>
      <c r="D33" s="38" t="s">
        <v>360</v>
      </c>
      <c r="E33" s="38" t="s">
        <v>252</v>
      </c>
      <c r="F33" s="38" t="s">
        <v>361</v>
      </c>
      <c r="G33" s="38" t="s">
        <v>362</v>
      </c>
      <c r="H33" s="38" t="s">
        <v>215</v>
      </c>
      <c r="I33" s="38" t="s">
        <v>44</v>
      </c>
      <c r="J33" s="44" t="n">
        <v>46138</v>
      </c>
      <c r="K33" s="44" t="n">
        <v>46268</v>
      </c>
      <c r="L33" s="38" t="s">
        <v>15</v>
      </c>
      <c r="M33" s="38" t="s">
        <v>28</v>
      </c>
      <c r="N33" s="38" t="n">
        <v>2</v>
      </c>
      <c r="O33" s="38" t="s">
        <v>234</v>
      </c>
      <c r="P33" s="44" t="n">
        <v>46296</v>
      </c>
      <c r="Q33" s="38"/>
      <c r="R33" s="45" t="str">
        <f aca="false">IF(TRIM(C33)="","Not Recorded",IFERROR(INDEX(Lists!$B$2:$B$60,MATCH(TRIM(C33),Lists!$A$2:$A$60,0)),"Not Recorded"))</f>
        <v>Americas</v>
      </c>
      <c r="S33" s="45" t="str">
        <f aca="false">IF(TRIM(L33)="","Not Recorded",IFERROR(INDEX(Lists!$E$2:$E$60,MATCH(TRIM(L33),Lists!$D$2:$D$60,0)),"Not Recorded"))</f>
        <v>Contacted</v>
      </c>
      <c r="T33" s="45" t="str">
        <f aca="false">IF(TRIM(M33)="","Not Recorded",IFERROR(INDEX(Lists!$H$2:$H$60,MATCH(TRIM(M33),Lists!$G$2:$G$60,0)),"Not Recorded"))</f>
        <v>Low</v>
      </c>
      <c r="U33" s="45" t="n">
        <f aca="false">IF(ISNUMBER(K33),Lists!$K$2-K33,"")</f>
        <v>33</v>
      </c>
      <c r="V33" s="46" t="n">
        <f aca="false">IF(AND(ISNUMBER(P33),P33&lt;Lists!$K$2,S33&lt;&gt;"On Hold"),1,0)</f>
        <v>1</v>
      </c>
      <c r="W33" s="45" t="n">
        <f aca="false">IF(V33=1,Lists!$K$2-P33,0)</f>
        <v>5</v>
      </c>
      <c r="X33" s="45" t="n">
        <f aca="false">IF(AND(ISNUMBER(K33),S33&lt;&gt;"On Hold"),IF(Lists!$K$2-K33&gt;Lists!$K$3,1,0),0)</f>
        <v>1</v>
      </c>
      <c r="Y33" s="46" t="n">
        <f aca="false">(F33="")+IF(F33="",0,ISERROR(FIND("@",F33))*1)+(D33="")+(I33="")+(R33="Not Recorded")+(S33="Not Recorded")+(T33="Not Recorded")+((ISTEXT(J33)+ISTEXT(K33)+ISTEXT(P33))&gt;0)+IF(AND(ISNUMBER(J33),ISNUMBER(K33)),(K33&lt;J33)*1,0)+IF(ISNUMBER(K33),(K33&gt;Lists!$K$2)*1,0)+(COUNTIF($B$2:$B$79,B33)&gt;1)+IF(S33="Not Started",(N33&gt;0)*1,IF(S33="Not Recorded",0,(N33=0)*1))+IF(AND(S33&lt;&gt;"Not Started",S33&lt;&gt;"Not Recorded"),(K33="")*1,0)+(P33="")+(G33="")+IF(G33="",0,(LEFT(G33,1)&lt;&gt;"+")*1)</f>
        <v>0</v>
      </c>
      <c r="Z33" s="47" t="n">
        <f aca="false">IF(V33=1,W33+ROW()/100000,0)</f>
        <v>5.00033</v>
      </c>
      <c r="AA33" s="45" t="n">
        <f aca="false">IF(OR(S33="In Discussion",S33="Meeting Scheduled",S33="Partnership Active"),1,0)</f>
        <v>0</v>
      </c>
      <c r="AB33" s="45" t="n">
        <f aca="false">IF(AND(S33&lt;&gt;"Not Started",S33&lt;&gt;"Not Recorded"),1,0)</f>
        <v>1</v>
      </c>
    </row>
    <row r="34" customFormat="false" ht="15" hidden="false" customHeight="false" outlineLevel="0" collapsed="false">
      <c r="A34" s="38" t="s">
        <v>363</v>
      </c>
      <c r="B34" s="38" t="s">
        <v>364</v>
      </c>
      <c r="C34" s="38" t="s">
        <v>22</v>
      </c>
      <c r="D34" s="38" t="s">
        <v>365</v>
      </c>
      <c r="E34" s="38" t="s">
        <v>252</v>
      </c>
      <c r="F34" s="38" t="s">
        <v>366</v>
      </c>
      <c r="G34" s="38" t="s">
        <v>367</v>
      </c>
      <c r="H34" s="38" t="s">
        <v>114</v>
      </c>
      <c r="I34" s="38" t="s">
        <v>54</v>
      </c>
      <c r="J34" s="44" t="n">
        <v>46199</v>
      </c>
      <c r="K34" s="44" t="n">
        <v>46252</v>
      </c>
      <c r="L34" s="38" t="s">
        <v>26</v>
      </c>
      <c r="M34" s="38" t="s">
        <v>368</v>
      </c>
      <c r="N34" s="38" t="n">
        <v>3</v>
      </c>
      <c r="O34" s="38" t="s">
        <v>194</v>
      </c>
      <c r="P34" s="44" t="n">
        <v>46296</v>
      </c>
      <c r="Q34" s="38" t="s">
        <v>226</v>
      </c>
      <c r="R34" s="45" t="str">
        <f aca="false">IF(TRIM(C34)="","Not Recorded",IFERROR(INDEX(Lists!$B$2:$B$60,MATCH(TRIM(C34),Lists!$A$2:$A$60,0)),"Not Recorded"))</f>
        <v>Europe</v>
      </c>
      <c r="S34" s="45" t="str">
        <f aca="false">IF(TRIM(L34)="","Not Recorded",IFERROR(INDEX(Lists!$E$2:$E$60,MATCH(TRIM(L34),Lists!$D$2:$D$60,0)),"Not Recorded"))</f>
        <v>No Response</v>
      </c>
      <c r="T34" s="45" t="str">
        <f aca="false">IF(TRIM(M34)="","Not Recorded",IFERROR(INDEX(Lists!$H$2:$H$60,MATCH(TRIM(M34),Lists!$G$2:$G$60,0)),"Not Recorded"))</f>
        <v>Low</v>
      </c>
      <c r="U34" s="45" t="n">
        <f aca="false">IF(ISNUMBER(K34),Lists!$K$2-K34,"")</f>
        <v>49</v>
      </c>
      <c r="V34" s="46" t="n">
        <f aca="false">IF(AND(ISNUMBER(P34),P34&lt;Lists!$K$2,S34&lt;&gt;"On Hold"),1,0)</f>
        <v>1</v>
      </c>
      <c r="W34" s="45" t="n">
        <f aca="false">IF(V34=1,Lists!$K$2-P34,0)</f>
        <v>5</v>
      </c>
      <c r="X34" s="45" t="n">
        <f aca="false">IF(AND(ISNUMBER(K34),S34&lt;&gt;"On Hold"),IF(Lists!$K$2-K34&gt;Lists!$K$3,1,0),0)</f>
        <v>1</v>
      </c>
      <c r="Y34" s="46" t="n">
        <f aca="false">(F34="")+IF(F34="",0,ISERROR(FIND("@",F34))*1)+(D34="")+(I34="")+(R34="Not Recorded")+(S34="Not Recorded")+(T34="Not Recorded")+((ISTEXT(J34)+ISTEXT(K34)+ISTEXT(P34))&gt;0)+IF(AND(ISNUMBER(J34),ISNUMBER(K34)),(K34&lt;J34)*1,0)+IF(ISNUMBER(K34),(K34&gt;Lists!$K$2)*1,0)+(COUNTIF($B$2:$B$79,B34)&gt;1)+IF(S34="Not Started",(N34&gt;0)*1,IF(S34="Not Recorded",0,(N34=0)*1))+IF(AND(S34&lt;&gt;"Not Started",S34&lt;&gt;"Not Recorded"),(K34="")*1,0)+(P34="")+(G34="")+IF(G34="",0,(LEFT(G34,1)&lt;&gt;"+")*1)</f>
        <v>0</v>
      </c>
      <c r="Z34" s="47" t="n">
        <f aca="false">IF(V34=1,W34+ROW()/100000,0)</f>
        <v>5.00034</v>
      </c>
      <c r="AA34" s="45" t="n">
        <f aca="false">IF(OR(S34="In Discussion",S34="Meeting Scheduled",S34="Partnership Active"),1,0)</f>
        <v>0</v>
      </c>
      <c r="AB34" s="45" t="n">
        <f aca="false">IF(AND(S34&lt;&gt;"Not Started",S34&lt;&gt;"Not Recorded"),1,0)</f>
        <v>1</v>
      </c>
    </row>
    <row r="35" customFormat="false" ht="15" hidden="false" customHeight="false" outlineLevel="0" collapsed="false">
      <c r="A35" s="38" t="s">
        <v>369</v>
      </c>
      <c r="B35" s="38" t="s">
        <v>370</v>
      </c>
      <c r="C35" s="38" t="s">
        <v>371</v>
      </c>
      <c r="D35" s="38" t="s">
        <v>211</v>
      </c>
      <c r="E35" s="38" t="s">
        <v>212</v>
      </c>
      <c r="F35" s="38" t="s">
        <v>372</v>
      </c>
      <c r="G35" s="38" t="s">
        <v>373</v>
      </c>
      <c r="H35" s="38" t="s">
        <v>215</v>
      </c>
      <c r="I35" s="38" t="s">
        <v>48</v>
      </c>
      <c r="J35" s="44" t="n">
        <v>46284</v>
      </c>
      <c r="K35" s="44" t="n">
        <v>46297</v>
      </c>
      <c r="L35" s="38" t="s">
        <v>32</v>
      </c>
      <c r="M35" s="38" t="s">
        <v>25</v>
      </c>
      <c r="N35" s="38" t="n">
        <v>7</v>
      </c>
      <c r="O35" s="38" t="s">
        <v>262</v>
      </c>
      <c r="P35" s="44" t="n">
        <v>46343</v>
      </c>
      <c r="Q35" s="38" t="s">
        <v>226</v>
      </c>
      <c r="R35" s="45" t="str">
        <f aca="false">IF(TRIM(C35)="","Not Recorded",IFERROR(INDEX(Lists!$B$2:$B$60,MATCH(TRIM(C35),Lists!$A$2:$A$60,0)),"Not Recorded"))</f>
        <v>Africa</v>
      </c>
      <c r="S35" s="45" t="str">
        <f aca="false">IF(TRIM(L35)="","Not Recorded",IFERROR(INDEX(Lists!$E$2:$E$60,MATCH(TRIM(L35),Lists!$D$2:$D$60,0)),"Not Recorded"))</f>
        <v>Meeting Scheduled</v>
      </c>
      <c r="T35" s="45" t="str">
        <f aca="false">IF(TRIM(M35)="","Not Recorded",IFERROR(INDEX(Lists!$H$2:$H$60,MATCH(TRIM(M35),Lists!$G$2:$G$60,0)),"Not Recorded"))</f>
        <v>Medium</v>
      </c>
      <c r="U35" s="45" t="n">
        <f aca="false">IF(ISNUMBER(K35),Lists!$K$2-K35,"")</f>
        <v>4</v>
      </c>
      <c r="V35" s="46" t="n">
        <f aca="false">IF(AND(ISNUMBER(P35),P35&lt;Lists!$K$2,S35&lt;&gt;"On Hold"),1,0)</f>
        <v>0</v>
      </c>
      <c r="W35" s="45" t="n">
        <f aca="false">IF(V35=1,Lists!$K$2-P35,0)</f>
        <v>0</v>
      </c>
      <c r="X35" s="45" t="n">
        <f aca="false">IF(AND(ISNUMBER(K35),S35&lt;&gt;"On Hold"),IF(Lists!$K$2-K35&gt;Lists!$K$3,1,0),0)</f>
        <v>0</v>
      </c>
      <c r="Y35" s="46" t="n">
        <f aca="false">(F35="")+IF(F35="",0,ISERROR(FIND("@",F35))*1)+(D35="")+(I35="")+(R35="Not Recorded")+(S35="Not Recorded")+(T35="Not Recorded")+((ISTEXT(J35)+ISTEXT(K35)+ISTEXT(P35))&gt;0)+IF(AND(ISNUMBER(J35),ISNUMBER(K35)),(K35&lt;J35)*1,0)+IF(ISNUMBER(K35),(K35&gt;Lists!$K$2)*1,0)+(COUNTIF($B$2:$B$79,B35)&gt;1)+IF(S35="Not Started",(N35&gt;0)*1,IF(S35="Not Recorded",0,(N35=0)*1))+IF(AND(S35&lt;&gt;"Not Started",S35&lt;&gt;"Not Recorded"),(K35="")*1,0)+(P35="")+(G35="")+IF(G35="",0,(LEFT(G35,1)&lt;&gt;"+")*1)</f>
        <v>0</v>
      </c>
      <c r="Z35" s="47" t="n">
        <f aca="false">IF(V35=1,W35+ROW()/100000,0)</f>
        <v>0</v>
      </c>
      <c r="AA35" s="45" t="n">
        <f aca="false">IF(OR(S35="In Discussion",S35="Meeting Scheduled",S35="Partnership Active"),1,0)</f>
        <v>1</v>
      </c>
      <c r="AB35" s="45" t="n">
        <f aca="false">IF(AND(S35&lt;&gt;"Not Started",S35&lt;&gt;"Not Recorded"),1,0)</f>
        <v>1</v>
      </c>
    </row>
    <row r="36" customFormat="false" ht="15" hidden="false" customHeight="false" outlineLevel="0" collapsed="false">
      <c r="A36" s="38" t="s">
        <v>374</v>
      </c>
      <c r="B36" s="38" t="s">
        <v>375</v>
      </c>
      <c r="C36" s="38"/>
      <c r="D36" s="38" t="s">
        <v>376</v>
      </c>
      <c r="E36" s="38" t="s">
        <v>252</v>
      </c>
      <c r="F36" s="38" t="s">
        <v>377</v>
      </c>
      <c r="G36" s="38" t="s">
        <v>378</v>
      </c>
      <c r="H36" s="38" t="s">
        <v>107</v>
      </c>
      <c r="I36" s="38" t="s">
        <v>46</v>
      </c>
      <c r="J36" s="44" t="n">
        <v>46194</v>
      </c>
      <c r="K36" s="44" t="n">
        <v>46261</v>
      </c>
      <c r="L36" s="38"/>
      <c r="M36" s="38" t="s">
        <v>25</v>
      </c>
      <c r="N36" s="38" t="n">
        <v>6</v>
      </c>
      <c r="O36" s="38" t="s">
        <v>207</v>
      </c>
      <c r="P36" s="44" t="n">
        <v>46304</v>
      </c>
      <c r="Q36" s="38" t="s">
        <v>279</v>
      </c>
      <c r="R36" s="45" t="str">
        <f aca="false">IF(TRIM(C36)="","Not Recorded",IFERROR(INDEX(Lists!$B$2:$B$60,MATCH(TRIM(C36),Lists!$A$2:$A$60,0)),"Not Recorded"))</f>
        <v>Not Recorded</v>
      </c>
      <c r="S36" s="45" t="str">
        <f aca="false">IF(TRIM(L36)="","Not Recorded",IFERROR(INDEX(Lists!$E$2:$E$60,MATCH(TRIM(L36),Lists!$D$2:$D$60,0)),"Not Recorded"))</f>
        <v>Not Recorded</v>
      </c>
      <c r="T36" s="45" t="str">
        <f aca="false">IF(TRIM(M36)="","Not Recorded",IFERROR(INDEX(Lists!$H$2:$H$60,MATCH(TRIM(M36),Lists!$G$2:$G$60,0)),"Not Recorded"))</f>
        <v>Medium</v>
      </c>
      <c r="U36" s="45" t="n">
        <f aca="false">IF(ISNUMBER(K36),Lists!$K$2-K36,"")</f>
        <v>40</v>
      </c>
      <c r="V36" s="46" t="n">
        <f aca="false">IF(AND(ISNUMBER(P36),P36&lt;Lists!$K$2,S36&lt;&gt;"On Hold"),1,0)</f>
        <v>0</v>
      </c>
      <c r="W36" s="45" t="n">
        <f aca="false">IF(V36=1,Lists!$K$2-P36,0)</f>
        <v>0</v>
      </c>
      <c r="X36" s="45" t="n">
        <f aca="false">IF(AND(ISNUMBER(K36),S36&lt;&gt;"On Hold"),IF(Lists!$K$2-K36&gt;Lists!$K$3,1,0),0)</f>
        <v>1</v>
      </c>
      <c r="Y36" s="46" t="n">
        <f aca="false">(F36="")+IF(F36="",0,ISERROR(FIND("@",F36))*1)+(D36="")+(I36="")+(R36="Not Recorded")+(S36="Not Recorded")+(T36="Not Recorded")+((ISTEXT(J36)+ISTEXT(K36)+ISTEXT(P36))&gt;0)+IF(AND(ISNUMBER(J36),ISNUMBER(K36)),(K36&lt;J36)*1,0)+IF(ISNUMBER(K36),(K36&gt;Lists!$K$2)*1,0)+(COUNTIF($B$2:$B$79,B36)&gt;1)+IF(S36="Not Started",(N36&gt;0)*1,IF(S36="Not Recorded",0,(N36=0)*1))+IF(AND(S36&lt;&gt;"Not Started",S36&lt;&gt;"Not Recorded"),(K36="")*1,0)+(P36="")+(G36="")+IF(G36="",0,(LEFT(G36,1)&lt;&gt;"+")*1)</f>
        <v>2</v>
      </c>
      <c r="Z36" s="47" t="n">
        <f aca="false">IF(V36=1,W36+ROW()/100000,0)</f>
        <v>0</v>
      </c>
      <c r="AA36" s="45" t="n">
        <f aca="false">IF(OR(S36="In Discussion",S36="Meeting Scheduled",S36="Partnership Active"),1,0)</f>
        <v>0</v>
      </c>
      <c r="AB36" s="45" t="n">
        <f aca="false">IF(AND(S36&lt;&gt;"Not Started",S36&lt;&gt;"Not Recorded"),1,0)</f>
        <v>0</v>
      </c>
    </row>
    <row r="37" customFormat="false" ht="15" hidden="false" customHeight="false" outlineLevel="0" collapsed="false">
      <c r="A37" s="38" t="s">
        <v>379</v>
      </c>
      <c r="B37" s="38" t="s">
        <v>380</v>
      </c>
      <c r="C37" s="38" t="s">
        <v>30</v>
      </c>
      <c r="D37" s="38" t="s">
        <v>381</v>
      </c>
      <c r="E37" s="38" t="s">
        <v>190</v>
      </c>
      <c r="F37" s="38" t="s">
        <v>382</v>
      </c>
      <c r="G37" s="38" t="s">
        <v>383</v>
      </c>
      <c r="H37" s="38" t="s">
        <v>114</v>
      </c>
      <c r="I37" s="38" t="s">
        <v>48</v>
      </c>
      <c r="J37" s="44" t="n">
        <v>46174</v>
      </c>
      <c r="K37" s="44" t="n">
        <v>46160</v>
      </c>
      <c r="L37" s="38" t="s">
        <v>29</v>
      </c>
      <c r="M37" s="38" t="s">
        <v>25</v>
      </c>
      <c r="N37" s="38" t="n">
        <v>3</v>
      </c>
      <c r="O37" s="38" t="s">
        <v>207</v>
      </c>
      <c r="P37" s="44" t="n">
        <v>46315</v>
      </c>
      <c r="Q37" s="38" t="s">
        <v>348</v>
      </c>
      <c r="R37" s="45" t="str">
        <f aca="false">IF(TRIM(C37)="","Not Recorded",IFERROR(INDEX(Lists!$B$2:$B$60,MATCH(TRIM(C37),Lists!$A$2:$A$60,0)),"Not Recorded"))</f>
        <v>Africa</v>
      </c>
      <c r="S37" s="45" t="str">
        <f aca="false">IF(TRIM(L37)="","Not Recorded",IFERROR(INDEX(Lists!$E$2:$E$60,MATCH(TRIM(L37),Lists!$D$2:$D$60,0)),"Not Recorded"))</f>
        <v>In Discussion</v>
      </c>
      <c r="T37" s="45" t="str">
        <f aca="false">IF(TRIM(M37)="","Not Recorded",IFERROR(INDEX(Lists!$H$2:$H$60,MATCH(TRIM(M37),Lists!$G$2:$G$60,0)),"Not Recorded"))</f>
        <v>Medium</v>
      </c>
      <c r="U37" s="45" t="n">
        <f aca="false">IF(ISNUMBER(K37),Lists!$K$2-K37,"")</f>
        <v>141</v>
      </c>
      <c r="V37" s="46" t="n">
        <f aca="false">IF(AND(ISNUMBER(P37),P37&lt;Lists!$K$2,S37&lt;&gt;"On Hold"),1,0)</f>
        <v>0</v>
      </c>
      <c r="W37" s="45" t="n">
        <f aca="false">IF(V37=1,Lists!$K$2-P37,0)</f>
        <v>0</v>
      </c>
      <c r="X37" s="45" t="n">
        <f aca="false">IF(AND(ISNUMBER(K37),S37&lt;&gt;"On Hold"),IF(Lists!$K$2-K37&gt;Lists!$K$3,1,0),0)</f>
        <v>1</v>
      </c>
      <c r="Y37" s="46" t="n">
        <f aca="false">(F37="")+IF(F37="",0,ISERROR(FIND("@",F37))*1)+(D37="")+(I37="")+(R37="Not Recorded")+(S37="Not Recorded")+(T37="Not Recorded")+((ISTEXT(J37)+ISTEXT(K37)+ISTEXT(P37))&gt;0)+IF(AND(ISNUMBER(J37),ISNUMBER(K37)),(K37&lt;J37)*1,0)+IF(ISNUMBER(K37),(K37&gt;Lists!$K$2)*1,0)+(COUNTIF($B$2:$B$79,B37)&gt;1)+IF(S37="Not Started",(N37&gt;0)*1,IF(S37="Not Recorded",0,(N37=0)*1))+IF(AND(S37&lt;&gt;"Not Started",S37&lt;&gt;"Not Recorded"),(K37="")*1,0)+(P37="")+(G37="")+IF(G37="",0,(LEFT(G37,1)&lt;&gt;"+")*1)</f>
        <v>2</v>
      </c>
      <c r="Z37" s="47" t="n">
        <f aca="false">IF(V37=1,W37+ROW()/100000,0)</f>
        <v>0</v>
      </c>
      <c r="AA37" s="45" t="n">
        <f aca="false">IF(OR(S37="In Discussion",S37="Meeting Scheduled",S37="Partnership Active"),1,0)</f>
        <v>1</v>
      </c>
      <c r="AB37" s="45" t="n">
        <f aca="false">IF(AND(S37&lt;&gt;"Not Started",S37&lt;&gt;"Not Recorded"),1,0)</f>
        <v>1</v>
      </c>
    </row>
    <row r="38" customFormat="false" ht="15" hidden="false" customHeight="false" outlineLevel="0" collapsed="false">
      <c r="A38" s="38" t="s">
        <v>384</v>
      </c>
      <c r="B38" s="38" t="s">
        <v>385</v>
      </c>
      <c r="C38" s="38" t="s">
        <v>22</v>
      </c>
      <c r="D38" s="38" t="s">
        <v>386</v>
      </c>
      <c r="E38" s="38" t="s">
        <v>238</v>
      </c>
      <c r="F38" s="38" t="s">
        <v>387</v>
      </c>
      <c r="G38" s="38" t="s">
        <v>388</v>
      </c>
      <c r="H38" s="38" t="s">
        <v>107</v>
      </c>
      <c r="I38" s="38" t="s">
        <v>54</v>
      </c>
      <c r="J38" s="44" t="n">
        <v>46248</v>
      </c>
      <c r="K38" s="44" t="n">
        <v>46248</v>
      </c>
      <c r="L38" s="38" t="s">
        <v>15</v>
      </c>
      <c r="M38" s="38" t="s">
        <v>389</v>
      </c>
      <c r="N38" s="38" t="n">
        <v>0</v>
      </c>
      <c r="O38" s="38" t="s">
        <v>234</v>
      </c>
      <c r="P38" s="44" t="n">
        <v>46273</v>
      </c>
      <c r="Q38" s="38"/>
      <c r="R38" s="45" t="str">
        <f aca="false">IF(TRIM(C38)="","Not Recorded",IFERROR(INDEX(Lists!$B$2:$B$60,MATCH(TRIM(C38),Lists!$A$2:$A$60,0)),"Not Recorded"))</f>
        <v>Europe</v>
      </c>
      <c r="S38" s="45" t="str">
        <f aca="false">IF(TRIM(L38)="","Not Recorded",IFERROR(INDEX(Lists!$E$2:$E$60,MATCH(TRIM(L38),Lists!$D$2:$D$60,0)),"Not Recorded"))</f>
        <v>Contacted</v>
      </c>
      <c r="T38" s="45" t="str">
        <f aca="false">IF(TRIM(M38)="","Not Recorded",IFERROR(INDEX(Lists!$H$2:$H$60,MATCH(TRIM(M38),Lists!$G$2:$G$60,0)),"Not Recorded"))</f>
        <v>Medium</v>
      </c>
      <c r="U38" s="45" t="n">
        <f aca="false">IF(ISNUMBER(K38),Lists!$K$2-K38,"")</f>
        <v>53</v>
      </c>
      <c r="V38" s="46" t="n">
        <f aca="false">IF(AND(ISNUMBER(P38),P38&lt;Lists!$K$2,S38&lt;&gt;"On Hold"),1,0)</f>
        <v>1</v>
      </c>
      <c r="W38" s="45" t="n">
        <f aca="false">IF(V38=1,Lists!$K$2-P38,0)</f>
        <v>28</v>
      </c>
      <c r="X38" s="45" t="n">
        <f aca="false">IF(AND(ISNUMBER(K38),S38&lt;&gt;"On Hold"),IF(Lists!$K$2-K38&gt;Lists!$K$3,1,0),0)</f>
        <v>1</v>
      </c>
      <c r="Y38" s="46" t="n">
        <f aca="false">(F38="")+IF(F38="",0,ISERROR(FIND("@",F38))*1)+(D38="")+(I38="")+(R38="Not Recorded")+(S38="Not Recorded")+(T38="Not Recorded")+((ISTEXT(J38)+ISTEXT(K38)+ISTEXT(P38))&gt;0)+IF(AND(ISNUMBER(J38),ISNUMBER(K38)),(K38&lt;J38)*1,0)+IF(ISNUMBER(K38),(K38&gt;Lists!$K$2)*1,0)+(COUNTIF($B$2:$B$79,B38)&gt;1)+IF(S38="Not Started",(N38&gt;0)*1,IF(S38="Not Recorded",0,(N38=0)*1))+IF(AND(S38&lt;&gt;"Not Started",S38&lt;&gt;"Not Recorded"),(K38="")*1,0)+(P38="")+(G38="")+IF(G38="",0,(LEFT(G38,1)&lt;&gt;"+")*1)</f>
        <v>2</v>
      </c>
      <c r="Z38" s="47" t="n">
        <f aca="false">IF(V38=1,W38+ROW()/100000,0)</f>
        <v>28.00038</v>
      </c>
      <c r="AA38" s="45" t="n">
        <f aca="false">IF(OR(S38="In Discussion",S38="Meeting Scheduled",S38="Partnership Active"),1,0)</f>
        <v>0</v>
      </c>
      <c r="AB38" s="45" t="n">
        <f aca="false">IF(AND(S38&lt;&gt;"Not Started",S38&lt;&gt;"Not Recorded"),1,0)</f>
        <v>1</v>
      </c>
    </row>
    <row r="39" customFormat="false" ht="15" hidden="false" customHeight="false" outlineLevel="0" collapsed="false">
      <c r="A39" s="38" t="s">
        <v>390</v>
      </c>
      <c r="B39" s="38" t="s">
        <v>391</v>
      </c>
      <c r="C39" s="38" t="s">
        <v>22</v>
      </c>
      <c r="D39" s="38" t="s">
        <v>392</v>
      </c>
      <c r="E39" s="38" t="s">
        <v>238</v>
      </c>
      <c r="F39" s="38" t="s">
        <v>393</v>
      </c>
      <c r="G39" s="38"/>
      <c r="H39" s="38" t="s">
        <v>107</v>
      </c>
      <c r="I39" s="38" t="s">
        <v>48</v>
      </c>
      <c r="J39" s="44" t="n">
        <v>46222</v>
      </c>
      <c r="K39" s="44" t="n">
        <v>46299</v>
      </c>
      <c r="L39" s="38" t="s">
        <v>394</v>
      </c>
      <c r="M39" s="38" t="s">
        <v>23</v>
      </c>
      <c r="N39" s="38" t="n">
        <v>6</v>
      </c>
      <c r="O39" s="38" t="s">
        <v>207</v>
      </c>
      <c r="P39" s="44" t="n">
        <v>46341</v>
      </c>
      <c r="Q39" s="38"/>
      <c r="R39" s="45" t="str">
        <f aca="false">IF(TRIM(C39)="","Not Recorded",IFERROR(INDEX(Lists!$B$2:$B$60,MATCH(TRIM(C39),Lists!$A$2:$A$60,0)),"Not Recorded"))</f>
        <v>Europe</v>
      </c>
      <c r="S39" s="45" t="str">
        <f aca="false">IF(TRIM(L39)="","Not Recorded",IFERROR(INDEX(Lists!$E$2:$E$60,MATCH(TRIM(L39),Lists!$D$2:$D$60,0)),"Not Recorded"))</f>
        <v>In Discussion</v>
      </c>
      <c r="T39" s="45" t="str">
        <f aca="false">IF(TRIM(M39)="","Not Recorded",IFERROR(INDEX(Lists!$H$2:$H$60,MATCH(TRIM(M39),Lists!$G$2:$G$60,0)),"Not Recorded"))</f>
        <v>High</v>
      </c>
      <c r="U39" s="45" t="n">
        <f aca="false">IF(ISNUMBER(K39),Lists!$K$2-K39,"")</f>
        <v>2</v>
      </c>
      <c r="V39" s="46" t="n">
        <f aca="false">IF(AND(ISNUMBER(P39),P39&lt;Lists!$K$2,S39&lt;&gt;"On Hold"),1,0)</f>
        <v>0</v>
      </c>
      <c r="W39" s="45" t="n">
        <f aca="false">IF(V39=1,Lists!$K$2-P39,0)</f>
        <v>0</v>
      </c>
      <c r="X39" s="45" t="n">
        <f aca="false">IF(AND(ISNUMBER(K39),S39&lt;&gt;"On Hold"),IF(Lists!$K$2-K39&gt;Lists!$K$3,1,0),0)</f>
        <v>0</v>
      </c>
      <c r="Y39" s="46" t="n">
        <f aca="false">(F39="")+IF(F39="",0,ISERROR(FIND("@",F39))*1)+(D39="")+(I39="")+(R39="Not Recorded")+(S39="Not Recorded")+(T39="Not Recorded")+((ISTEXT(J39)+ISTEXT(K39)+ISTEXT(P39))&gt;0)+IF(AND(ISNUMBER(J39),ISNUMBER(K39)),(K39&lt;J39)*1,0)+IF(ISNUMBER(K39),(K39&gt;Lists!$K$2)*1,0)+(COUNTIF($B$2:$B$79,B39)&gt;1)+IF(S39="Not Started",(N39&gt;0)*1,IF(S39="Not Recorded",0,(N39=0)*1))+IF(AND(S39&lt;&gt;"Not Started",S39&lt;&gt;"Not Recorded"),(K39="")*1,0)+(P39="")+(G39="")+IF(G39="",0,(LEFT(G39,1)&lt;&gt;"+")*1)</f>
        <v>1</v>
      </c>
      <c r="Z39" s="47" t="n">
        <f aca="false">IF(V39=1,W39+ROW()/100000,0)</f>
        <v>0</v>
      </c>
      <c r="AA39" s="45" t="n">
        <f aca="false">IF(OR(S39="In Discussion",S39="Meeting Scheduled",S39="Partnership Active"),1,0)</f>
        <v>1</v>
      </c>
      <c r="AB39" s="45" t="n">
        <f aca="false">IF(AND(S39&lt;&gt;"Not Started",S39&lt;&gt;"Not Recorded"),1,0)</f>
        <v>1</v>
      </c>
    </row>
    <row r="40" customFormat="false" ht="15" hidden="false" customHeight="false" outlineLevel="0" collapsed="false">
      <c r="A40" s="38" t="s">
        <v>395</v>
      </c>
      <c r="B40" s="38" t="s">
        <v>396</v>
      </c>
      <c r="C40" s="38" t="s">
        <v>22</v>
      </c>
      <c r="D40" s="38" t="s">
        <v>397</v>
      </c>
      <c r="E40" s="38" t="s">
        <v>190</v>
      </c>
      <c r="F40" s="38" t="s">
        <v>398</v>
      </c>
      <c r="G40" s="38" t="s">
        <v>399</v>
      </c>
      <c r="H40" s="38" t="s">
        <v>215</v>
      </c>
      <c r="I40" s="38" t="s">
        <v>46</v>
      </c>
      <c r="J40" s="44" t="n">
        <v>46282</v>
      </c>
      <c r="K40" s="44" t="n">
        <v>46282</v>
      </c>
      <c r="L40" s="38" t="s">
        <v>400</v>
      </c>
      <c r="M40" s="38" t="s">
        <v>28</v>
      </c>
      <c r="N40" s="38" t="n">
        <v>1</v>
      </c>
      <c r="O40" s="38" t="s">
        <v>234</v>
      </c>
      <c r="P40" s="44" t="n">
        <v>46296</v>
      </c>
      <c r="Q40" s="38"/>
      <c r="R40" s="45" t="str">
        <f aca="false">IF(TRIM(C40)="","Not Recorded",IFERROR(INDEX(Lists!$B$2:$B$60,MATCH(TRIM(C40),Lists!$A$2:$A$60,0)),"Not Recorded"))</f>
        <v>Europe</v>
      </c>
      <c r="S40" s="45" t="str">
        <f aca="false">IF(TRIM(L40)="","Not Recorded",IFERROR(INDEX(Lists!$E$2:$E$60,MATCH(TRIM(L40),Lists!$D$2:$D$60,0)),"Not Recorded"))</f>
        <v>Contacted</v>
      </c>
      <c r="T40" s="45" t="str">
        <f aca="false">IF(TRIM(M40)="","Not Recorded",IFERROR(INDEX(Lists!$H$2:$H$60,MATCH(TRIM(M40),Lists!$G$2:$G$60,0)),"Not Recorded"))</f>
        <v>Low</v>
      </c>
      <c r="U40" s="45" t="n">
        <f aca="false">IF(ISNUMBER(K40),Lists!$K$2-K40,"")</f>
        <v>19</v>
      </c>
      <c r="V40" s="46" t="n">
        <f aca="false">IF(AND(ISNUMBER(P40),P40&lt;Lists!$K$2,S40&lt;&gt;"On Hold"),1,0)</f>
        <v>1</v>
      </c>
      <c r="W40" s="45" t="n">
        <f aca="false">IF(V40=1,Lists!$K$2-P40,0)</f>
        <v>5</v>
      </c>
      <c r="X40" s="45" t="n">
        <f aca="false">IF(AND(ISNUMBER(K40),S40&lt;&gt;"On Hold"),IF(Lists!$K$2-K40&gt;Lists!$K$3,1,0),0)</f>
        <v>0</v>
      </c>
      <c r="Y40" s="46" t="n">
        <f aca="false">(F40="")+IF(F40="",0,ISERROR(FIND("@",F40))*1)+(D40="")+(I40="")+(R40="Not Recorded")+(S40="Not Recorded")+(T40="Not Recorded")+((ISTEXT(J40)+ISTEXT(K40)+ISTEXT(P40))&gt;0)+IF(AND(ISNUMBER(J40),ISNUMBER(K40)),(K40&lt;J40)*1,0)+IF(ISNUMBER(K40),(K40&gt;Lists!$K$2)*1,0)+(COUNTIF($B$2:$B$79,B40)&gt;1)+IF(S40="Not Started",(N40&gt;0)*1,IF(S40="Not Recorded",0,(N40=0)*1))+IF(AND(S40&lt;&gt;"Not Started",S40&lt;&gt;"Not Recorded"),(K40="")*1,0)+(P40="")+(G40="")+IF(G40="",0,(LEFT(G40,1)&lt;&gt;"+")*1)</f>
        <v>2</v>
      </c>
      <c r="Z40" s="47" t="n">
        <f aca="false">IF(V40=1,W40+ROW()/100000,0)</f>
        <v>5.0004</v>
      </c>
      <c r="AA40" s="45" t="n">
        <f aca="false">IF(OR(S40="In Discussion",S40="Meeting Scheduled",S40="Partnership Active"),1,0)</f>
        <v>0</v>
      </c>
      <c r="AB40" s="45" t="n">
        <f aca="false">IF(AND(S40&lt;&gt;"Not Started",S40&lt;&gt;"Not Recorded"),1,0)</f>
        <v>1</v>
      </c>
    </row>
    <row r="41" customFormat="false" ht="15" hidden="false" customHeight="false" outlineLevel="0" collapsed="false">
      <c r="A41" s="38" t="s">
        <v>401</v>
      </c>
      <c r="B41" s="38" t="s">
        <v>402</v>
      </c>
      <c r="C41" s="38" t="s">
        <v>27</v>
      </c>
      <c r="D41" s="38" t="s">
        <v>403</v>
      </c>
      <c r="E41" s="38" t="s">
        <v>183</v>
      </c>
      <c r="F41" s="38" t="s">
        <v>404</v>
      </c>
      <c r="G41" s="38" t="s">
        <v>405</v>
      </c>
      <c r="H41" s="38" t="s">
        <v>215</v>
      </c>
      <c r="I41" s="38" t="s">
        <v>52</v>
      </c>
      <c r="J41" s="44" t="n">
        <v>46148</v>
      </c>
      <c r="K41" s="44" t="n">
        <v>46271</v>
      </c>
      <c r="L41" s="38" t="s">
        <v>29</v>
      </c>
      <c r="M41" s="38" t="s">
        <v>25</v>
      </c>
      <c r="N41" s="38" t="n">
        <v>6</v>
      </c>
      <c r="O41" s="38" t="s">
        <v>207</v>
      </c>
      <c r="P41" s="44" t="n">
        <v>46294</v>
      </c>
      <c r="Q41" s="38" t="s">
        <v>268</v>
      </c>
      <c r="R41" s="45" t="str">
        <f aca="false">IF(TRIM(C41)="","Not Recorded",IFERROR(INDEX(Lists!$B$2:$B$60,MATCH(TRIM(C41),Lists!$A$2:$A$60,0)),"Not Recorded"))</f>
        <v>Middle East</v>
      </c>
      <c r="S41" s="45" t="str">
        <f aca="false">IF(TRIM(L41)="","Not Recorded",IFERROR(INDEX(Lists!$E$2:$E$60,MATCH(TRIM(L41),Lists!$D$2:$D$60,0)),"Not Recorded"))</f>
        <v>In Discussion</v>
      </c>
      <c r="T41" s="45" t="str">
        <f aca="false">IF(TRIM(M41)="","Not Recorded",IFERROR(INDEX(Lists!$H$2:$H$60,MATCH(TRIM(M41),Lists!$G$2:$G$60,0)),"Not Recorded"))</f>
        <v>Medium</v>
      </c>
      <c r="U41" s="45" t="n">
        <f aca="false">IF(ISNUMBER(K41),Lists!$K$2-K41,"")</f>
        <v>30</v>
      </c>
      <c r="V41" s="46" t="n">
        <f aca="false">IF(AND(ISNUMBER(P41),P41&lt;Lists!$K$2,S41&lt;&gt;"On Hold"),1,0)</f>
        <v>1</v>
      </c>
      <c r="W41" s="45" t="n">
        <f aca="false">IF(V41=1,Lists!$K$2-P41,0)</f>
        <v>7</v>
      </c>
      <c r="X41" s="45" t="n">
        <f aca="false">IF(AND(ISNUMBER(K41),S41&lt;&gt;"On Hold"),IF(Lists!$K$2-K41&gt;Lists!$K$3,1,0),0)</f>
        <v>0</v>
      </c>
      <c r="Y41" s="46" t="n">
        <f aca="false">(F41="")+IF(F41="",0,ISERROR(FIND("@",F41))*1)+(D41="")+(I41="")+(R41="Not Recorded")+(S41="Not Recorded")+(T41="Not Recorded")+((ISTEXT(J41)+ISTEXT(K41)+ISTEXT(P41))&gt;0)+IF(AND(ISNUMBER(J41),ISNUMBER(K41)),(K41&lt;J41)*1,0)+IF(ISNUMBER(K41),(K41&gt;Lists!$K$2)*1,0)+(COUNTIF($B$2:$B$79,B41)&gt;1)+IF(S41="Not Started",(N41&gt;0)*1,IF(S41="Not Recorded",0,(N41=0)*1))+IF(AND(S41&lt;&gt;"Not Started",S41&lt;&gt;"Not Recorded"),(K41="")*1,0)+(P41="")+(G41="")+IF(G41="",0,(LEFT(G41,1)&lt;&gt;"+")*1)</f>
        <v>0</v>
      </c>
      <c r="Z41" s="47" t="n">
        <f aca="false">IF(V41=1,W41+ROW()/100000,0)</f>
        <v>7.00041</v>
      </c>
      <c r="AA41" s="45" t="n">
        <f aca="false">IF(OR(S41="In Discussion",S41="Meeting Scheduled",S41="Partnership Active"),1,0)</f>
        <v>1</v>
      </c>
      <c r="AB41" s="45" t="n">
        <f aca="false">IF(AND(S41&lt;&gt;"Not Started",S41&lt;&gt;"Not Recorded"),1,0)</f>
        <v>1</v>
      </c>
    </row>
    <row r="42" customFormat="false" ht="15" hidden="false" customHeight="false" outlineLevel="0" collapsed="false">
      <c r="A42" s="38" t="s">
        <v>406</v>
      </c>
      <c r="B42" s="38" t="s">
        <v>407</v>
      </c>
      <c r="C42" s="38" t="s">
        <v>30</v>
      </c>
      <c r="D42" s="38" t="s">
        <v>408</v>
      </c>
      <c r="E42" s="38" t="s">
        <v>212</v>
      </c>
      <c r="F42" s="38"/>
      <c r="G42" s="38" t="s">
        <v>409</v>
      </c>
      <c r="H42" s="38" t="s">
        <v>107</v>
      </c>
      <c r="I42" s="38" t="s">
        <v>50</v>
      </c>
      <c r="J42" s="44" t="n">
        <v>46149</v>
      </c>
      <c r="K42" s="44" t="n">
        <v>46276</v>
      </c>
      <c r="L42" s="38" t="s">
        <v>29</v>
      </c>
      <c r="M42" s="38" t="s">
        <v>23</v>
      </c>
      <c r="N42" s="38" t="n">
        <v>6</v>
      </c>
      <c r="O42" s="38" t="s">
        <v>207</v>
      </c>
      <c r="P42" s="44" t="n">
        <v>46295</v>
      </c>
      <c r="Q42" s="38"/>
      <c r="R42" s="45" t="str">
        <f aca="false">IF(TRIM(C42)="","Not Recorded",IFERROR(INDEX(Lists!$B$2:$B$60,MATCH(TRIM(C42),Lists!$A$2:$A$60,0)),"Not Recorded"))</f>
        <v>Africa</v>
      </c>
      <c r="S42" s="45" t="str">
        <f aca="false">IF(TRIM(L42)="","Not Recorded",IFERROR(INDEX(Lists!$E$2:$E$60,MATCH(TRIM(L42),Lists!$D$2:$D$60,0)),"Not Recorded"))</f>
        <v>In Discussion</v>
      </c>
      <c r="T42" s="45" t="str">
        <f aca="false">IF(TRIM(M42)="","Not Recorded",IFERROR(INDEX(Lists!$H$2:$H$60,MATCH(TRIM(M42),Lists!$G$2:$G$60,0)),"Not Recorded"))</f>
        <v>High</v>
      </c>
      <c r="U42" s="45" t="n">
        <f aca="false">IF(ISNUMBER(K42),Lists!$K$2-K42,"")</f>
        <v>25</v>
      </c>
      <c r="V42" s="46" t="n">
        <f aca="false">IF(AND(ISNUMBER(P42),P42&lt;Lists!$K$2,S42&lt;&gt;"On Hold"),1,0)</f>
        <v>1</v>
      </c>
      <c r="W42" s="45" t="n">
        <f aca="false">IF(V42=1,Lists!$K$2-P42,0)</f>
        <v>6</v>
      </c>
      <c r="X42" s="45" t="n">
        <f aca="false">IF(AND(ISNUMBER(K42),S42&lt;&gt;"On Hold"),IF(Lists!$K$2-K42&gt;Lists!$K$3,1,0),0)</f>
        <v>0</v>
      </c>
      <c r="Y42" s="46" t="n">
        <f aca="false">(F42="")+IF(F42="",0,ISERROR(FIND("@",F42))*1)+(D42="")+(I42="")+(R42="Not Recorded")+(S42="Not Recorded")+(T42="Not Recorded")+((ISTEXT(J42)+ISTEXT(K42)+ISTEXT(P42))&gt;0)+IF(AND(ISNUMBER(J42),ISNUMBER(K42)),(K42&lt;J42)*1,0)+IF(ISNUMBER(K42),(K42&gt;Lists!$K$2)*1,0)+(COUNTIF($B$2:$B$79,B42)&gt;1)+IF(S42="Not Started",(N42&gt;0)*1,IF(S42="Not Recorded",0,(N42=0)*1))+IF(AND(S42&lt;&gt;"Not Started",S42&lt;&gt;"Not Recorded"),(K42="")*1,0)+(P42="")+(G42="")+IF(G42="",0,(LEFT(G42,1)&lt;&gt;"+")*1)</f>
        <v>1</v>
      </c>
      <c r="Z42" s="47" t="n">
        <f aca="false">IF(V42=1,W42+ROW()/100000,0)</f>
        <v>6.00042</v>
      </c>
      <c r="AA42" s="45" t="n">
        <f aca="false">IF(OR(S42="In Discussion",S42="Meeting Scheduled",S42="Partnership Active"),1,0)</f>
        <v>1</v>
      </c>
      <c r="AB42" s="45" t="n">
        <f aca="false">IF(AND(S42&lt;&gt;"Not Started",S42&lt;&gt;"Not Recorded"),1,0)</f>
        <v>1</v>
      </c>
    </row>
    <row r="43" customFormat="false" ht="15" hidden="false" customHeight="false" outlineLevel="0" collapsed="false">
      <c r="A43" s="38" t="s">
        <v>410</v>
      </c>
      <c r="B43" s="38" t="s">
        <v>411</v>
      </c>
      <c r="C43" s="38"/>
      <c r="D43" s="38" t="s">
        <v>412</v>
      </c>
      <c r="E43" s="38" t="s">
        <v>190</v>
      </c>
      <c r="F43" s="38" t="s">
        <v>413</v>
      </c>
      <c r="G43" s="38"/>
      <c r="H43" s="38" t="s">
        <v>215</v>
      </c>
      <c r="I43" s="38" t="s">
        <v>46</v>
      </c>
      <c r="J43" s="38"/>
      <c r="K43" s="38"/>
      <c r="L43" s="38" t="s">
        <v>414</v>
      </c>
      <c r="M43" s="38"/>
      <c r="N43" s="38" t="n">
        <v>0</v>
      </c>
      <c r="O43" s="38" t="s">
        <v>186</v>
      </c>
      <c r="P43" s="44" t="n">
        <v>46323</v>
      </c>
      <c r="Q43" s="38"/>
      <c r="R43" s="45" t="str">
        <f aca="false">IF(TRIM(C43)="","Not Recorded",IFERROR(INDEX(Lists!$B$2:$B$60,MATCH(TRIM(C43),Lists!$A$2:$A$60,0)),"Not Recorded"))</f>
        <v>Not Recorded</v>
      </c>
      <c r="S43" s="45" t="str">
        <f aca="false">IF(TRIM(L43)="","Not Recorded",IFERROR(INDEX(Lists!$E$2:$E$60,MATCH(TRIM(L43),Lists!$D$2:$D$60,0)),"Not Recorded"))</f>
        <v>Not Started</v>
      </c>
      <c r="T43" s="45" t="str">
        <f aca="false">IF(TRIM(M43)="","Not Recorded",IFERROR(INDEX(Lists!$H$2:$H$60,MATCH(TRIM(M43),Lists!$G$2:$G$60,0)),"Not Recorded"))</f>
        <v>Not Recorded</v>
      </c>
      <c r="U43" s="45" t="str">
        <f aca="false">IF(ISNUMBER(K43),Lists!$K$2-K43,"")</f>
        <v/>
      </c>
      <c r="V43" s="46" t="n">
        <f aca="false">IF(AND(ISNUMBER(P43),P43&lt;Lists!$K$2,S43&lt;&gt;"On Hold"),1,0)</f>
        <v>0</v>
      </c>
      <c r="W43" s="45" t="n">
        <f aca="false">IF(V43=1,Lists!$K$2-P43,0)</f>
        <v>0</v>
      </c>
      <c r="X43" s="45" t="n">
        <f aca="false">IF(AND(ISNUMBER(K43),S43&lt;&gt;"On Hold"),IF(Lists!$K$2-K43&gt;Lists!$K$3,1,0),0)</f>
        <v>0</v>
      </c>
      <c r="Y43" s="46" t="n">
        <f aca="false">(F43="")+IF(F43="",0,ISERROR(FIND("@",F43))*1)+(D43="")+(I43="")+(R43="Not Recorded")+(S43="Not Recorded")+(T43="Not Recorded")+((ISTEXT(J43)+ISTEXT(K43)+ISTEXT(P43))&gt;0)+IF(AND(ISNUMBER(J43),ISNUMBER(K43)),(K43&lt;J43)*1,0)+IF(ISNUMBER(K43),(K43&gt;Lists!$K$2)*1,0)+(COUNTIF($B$2:$B$79,B43)&gt;1)+IF(S43="Not Started",(N43&gt;0)*1,IF(S43="Not Recorded",0,(N43=0)*1))+IF(AND(S43&lt;&gt;"Not Started",S43&lt;&gt;"Not Recorded"),(K43="")*1,0)+(P43="")+(G43="")+IF(G43="",0,(LEFT(G43,1)&lt;&gt;"+")*1)</f>
        <v>3</v>
      </c>
      <c r="Z43" s="47" t="n">
        <f aca="false">IF(V43=1,W43+ROW()/100000,0)</f>
        <v>0</v>
      </c>
      <c r="AA43" s="45" t="n">
        <f aca="false">IF(OR(S43="In Discussion",S43="Meeting Scheduled",S43="Partnership Active"),1,0)</f>
        <v>0</v>
      </c>
      <c r="AB43" s="45" t="n">
        <f aca="false">IF(AND(S43&lt;&gt;"Not Started",S43&lt;&gt;"Not Recorded"),1,0)</f>
        <v>0</v>
      </c>
    </row>
    <row r="44" customFormat="false" ht="15" hidden="false" customHeight="false" outlineLevel="0" collapsed="false">
      <c r="A44" s="38" t="s">
        <v>415</v>
      </c>
      <c r="B44" s="38" t="s">
        <v>416</v>
      </c>
      <c r="C44" s="38" t="s">
        <v>22</v>
      </c>
      <c r="D44" s="38" t="s">
        <v>417</v>
      </c>
      <c r="E44" s="38" t="s">
        <v>252</v>
      </c>
      <c r="F44" s="38" t="s">
        <v>418</v>
      </c>
      <c r="G44" s="38" t="s">
        <v>419</v>
      </c>
      <c r="H44" s="38" t="s">
        <v>241</v>
      </c>
      <c r="I44" s="38"/>
      <c r="J44" s="38" t="s">
        <v>420</v>
      </c>
      <c r="K44" s="44" t="n">
        <v>46288</v>
      </c>
      <c r="L44" s="38" t="s">
        <v>15</v>
      </c>
      <c r="M44" s="38" t="s">
        <v>28</v>
      </c>
      <c r="N44" s="38" t="n">
        <v>2</v>
      </c>
      <c r="O44" s="38" t="s">
        <v>234</v>
      </c>
      <c r="P44" s="44" t="n">
        <v>46333</v>
      </c>
      <c r="Q44" s="38"/>
      <c r="R44" s="45" t="str">
        <f aca="false">IF(TRIM(C44)="","Not Recorded",IFERROR(INDEX(Lists!$B$2:$B$60,MATCH(TRIM(C44),Lists!$A$2:$A$60,0)),"Not Recorded"))</f>
        <v>Europe</v>
      </c>
      <c r="S44" s="45" t="str">
        <f aca="false">IF(TRIM(L44)="","Not Recorded",IFERROR(INDEX(Lists!$E$2:$E$60,MATCH(TRIM(L44),Lists!$D$2:$D$60,0)),"Not Recorded"))</f>
        <v>Contacted</v>
      </c>
      <c r="T44" s="45" t="str">
        <f aca="false">IF(TRIM(M44)="","Not Recorded",IFERROR(INDEX(Lists!$H$2:$H$60,MATCH(TRIM(M44),Lists!$G$2:$G$60,0)),"Not Recorded"))</f>
        <v>Low</v>
      </c>
      <c r="U44" s="45" t="n">
        <f aca="false">IF(ISNUMBER(K44),Lists!$K$2-K44,"")</f>
        <v>13</v>
      </c>
      <c r="V44" s="46" t="n">
        <f aca="false">IF(AND(ISNUMBER(P44),P44&lt;Lists!$K$2,S44&lt;&gt;"On Hold"),1,0)</f>
        <v>0</v>
      </c>
      <c r="W44" s="45" t="n">
        <f aca="false">IF(V44=1,Lists!$K$2-P44,0)</f>
        <v>0</v>
      </c>
      <c r="X44" s="45" t="n">
        <f aca="false">IF(AND(ISNUMBER(K44),S44&lt;&gt;"On Hold"),IF(Lists!$K$2-K44&gt;Lists!$K$3,1,0),0)</f>
        <v>0</v>
      </c>
      <c r="Y44" s="46" t="n">
        <f aca="false">(F44="")+IF(F44="",0,ISERROR(FIND("@",F44))*1)+(D44="")+(I44="")+(R44="Not Recorded")+(S44="Not Recorded")+(T44="Not Recorded")+((ISTEXT(J44)+ISTEXT(K44)+ISTEXT(P44))&gt;0)+IF(AND(ISNUMBER(J44),ISNUMBER(K44)),(K44&lt;J44)*1,0)+IF(ISNUMBER(K44),(K44&gt;Lists!$K$2)*1,0)+(COUNTIF($B$2:$B$79,B44)&gt;1)+IF(S44="Not Started",(N44&gt;0)*1,IF(S44="Not Recorded",0,(N44=0)*1))+IF(AND(S44&lt;&gt;"Not Started",S44&lt;&gt;"Not Recorded"),(K44="")*1,0)+(P44="")+(G44="")+IF(G44="",0,(LEFT(G44,1)&lt;&gt;"+")*1)</f>
        <v>3</v>
      </c>
      <c r="Z44" s="47" t="n">
        <f aca="false">IF(V44=1,W44+ROW()/100000,0)</f>
        <v>0</v>
      </c>
      <c r="AA44" s="45" t="n">
        <f aca="false">IF(OR(S44="In Discussion",S44="Meeting Scheduled",S44="Partnership Active"),1,0)</f>
        <v>0</v>
      </c>
      <c r="AB44" s="45" t="n">
        <f aca="false">IF(AND(S44&lt;&gt;"Not Started",S44&lt;&gt;"Not Recorded"),1,0)</f>
        <v>1</v>
      </c>
    </row>
    <row r="45" customFormat="false" ht="15" hidden="false" customHeight="false" outlineLevel="0" collapsed="false">
      <c r="A45" s="38" t="s">
        <v>421</v>
      </c>
      <c r="B45" s="38" t="s">
        <v>422</v>
      </c>
      <c r="C45" s="38" t="s">
        <v>371</v>
      </c>
      <c r="D45" s="38" t="s">
        <v>423</v>
      </c>
      <c r="E45" s="38" t="s">
        <v>198</v>
      </c>
      <c r="F45" s="38" t="s">
        <v>424</v>
      </c>
      <c r="G45" s="38" t="s">
        <v>425</v>
      </c>
      <c r="H45" s="38" t="s">
        <v>241</v>
      </c>
      <c r="I45" s="38" t="s">
        <v>50</v>
      </c>
      <c r="J45" s="44" t="n">
        <v>46148</v>
      </c>
      <c r="K45" s="44" t="n">
        <v>46220</v>
      </c>
      <c r="L45" s="38" t="s">
        <v>26</v>
      </c>
      <c r="M45" s="38" t="s">
        <v>28</v>
      </c>
      <c r="N45" s="38" t="n">
        <v>2</v>
      </c>
      <c r="O45" s="38" t="s">
        <v>194</v>
      </c>
      <c r="P45" s="44" t="n">
        <v>46235</v>
      </c>
      <c r="Q45" s="38" t="s">
        <v>348</v>
      </c>
      <c r="R45" s="45" t="str">
        <f aca="false">IF(TRIM(C45)="","Not Recorded",IFERROR(INDEX(Lists!$B$2:$B$60,MATCH(TRIM(C45),Lists!$A$2:$A$60,0)),"Not Recorded"))</f>
        <v>Africa</v>
      </c>
      <c r="S45" s="45" t="str">
        <f aca="false">IF(TRIM(L45)="","Not Recorded",IFERROR(INDEX(Lists!$E$2:$E$60,MATCH(TRIM(L45),Lists!$D$2:$D$60,0)),"Not Recorded"))</f>
        <v>No Response</v>
      </c>
      <c r="T45" s="45" t="str">
        <f aca="false">IF(TRIM(M45)="","Not Recorded",IFERROR(INDEX(Lists!$H$2:$H$60,MATCH(TRIM(M45),Lists!$G$2:$G$60,0)),"Not Recorded"))</f>
        <v>Low</v>
      </c>
      <c r="U45" s="45" t="n">
        <f aca="false">IF(ISNUMBER(K45),Lists!$K$2-K45,"")</f>
        <v>81</v>
      </c>
      <c r="V45" s="46" t="n">
        <f aca="false">IF(AND(ISNUMBER(P45),P45&lt;Lists!$K$2,S45&lt;&gt;"On Hold"),1,0)</f>
        <v>1</v>
      </c>
      <c r="W45" s="45" t="n">
        <f aca="false">IF(V45=1,Lists!$K$2-P45,0)</f>
        <v>66</v>
      </c>
      <c r="X45" s="45" t="n">
        <f aca="false">IF(AND(ISNUMBER(K45),S45&lt;&gt;"On Hold"),IF(Lists!$K$2-K45&gt;Lists!$K$3,1,0),0)</f>
        <v>1</v>
      </c>
      <c r="Y45" s="46" t="n">
        <f aca="false">(F45="")+IF(F45="",0,ISERROR(FIND("@",F45))*1)+(D45="")+(I45="")+(R45="Not Recorded")+(S45="Not Recorded")+(T45="Not Recorded")+((ISTEXT(J45)+ISTEXT(K45)+ISTEXT(P45))&gt;0)+IF(AND(ISNUMBER(J45),ISNUMBER(K45)),(K45&lt;J45)*1,0)+IF(ISNUMBER(K45),(K45&gt;Lists!$K$2)*1,0)+(COUNTIF($B$2:$B$79,B45)&gt;1)+IF(S45="Not Started",(N45&gt;0)*1,IF(S45="Not Recorded",0,(N45=0)*1))+IF(AND(S45&lt;&gt;"Not Started",S45&lt;&gt;"Not Recorded"),(K45="")*1,0)+(P45="")+(G45="")+IF(G45="",0,(LEFT(G45,1)&lt;&gt;"+")*1)</f>
        <v>0</v>
      </c>
      <c r="Z45" s="47" t="n">
        <f aca="false">IF(V45=1,W45+ROW()/100000,0)</f>
        <v>66.00045</v>
      </c>
      <c r="AA45" s="45" t="n">
        <f aca="false">IF(OR(S45="In Discussion",S45="Meeting Scheduled",S45="Partnership Active"),1,0)</f>
        <v>0</v>
      </c>
      <c r="AB45" s="45" t="n">
        <f aca="false">IF(AND(S45&lt;&gt;"Not Started",S45&lt;&gt;"Not Recorded"),1,0)</f>
        <v>1</v>
      </c>
    </row>
    <row r="46" customFormat="false" ht="15" hidden="false" customHeight="false" outlineLevel="0" collapsed="false">
      <c r="A46" s="38" t="s">
        <v>426</v>
      </c>
      <c r="B46" s="38" t="s">
        <v>427</v>
      </c>
      <c r="C46" s="38" t="s">
        <v>27</v>
      </c>
      <c r="D46" s="38" t="s">
        <v>428</v>
      </c>
      <c r="E46" s="38" t="s">
        <v>183</v>
      </c>
      <c r="F46" s="38" t="s">
        <v>429</v>
      </c>
      <c r="G46" s="38" t="s">
        <v>430</v>
      </c>
      <c r="H46" s="38" t="s">
        <v>215</v>
      </c>
      <c r="I46" s="38" t="s">
        <v>44</v>
      </c>
      <c r="J46" s="38"/>
      <c r="K46" s="38"/>
      <c r="L46" s="38" t="s">
        <v>21</v>
      </c>
      <c r="M46" s="38" t="s">
        <v>31</v>
      </c>
      <c r="N46" s="38" t="n">
        <v>1</v>
      </c>
      <c r="O46" s="38" t="s">
        <v>186</v>
      </c>
      <c r="P46" s="44" t="n">
        <v>46310</v>
      </c>
      <c r="Q46" s="38"/>
      <c r="R46" s="45" t="str">
        <f aca="false">IF(TRIM(C46)="","Not Recorded",IFERROR(INDEX(Lists!$B$2:$B$60,MATCH(TRIM(C46),Lists!$A$2:$A$60,0)),"Not Recorded"))</f>
        <v>Middle East</v>
      </c>
      <c r="S46" s="45" t="str">
        <f aca="false">IF(TRIM(L46)="","Not Recorded",IFERROR(INDEX(Lists!$E$2:$E$60,MATCH(TRIM(L46),Lists!$D$2:$D$60,0)),"Not Recorded"))</f>
        <v>Not Started</v>
      </c>
      <c r="T46" s="45" t="str">
        <f aca="false">IF(TRIM(M46)="","Not Recorded",IFERROR(INDEX(Lists!$H$2:$H$60,MATCH(TRIM(M46),Lists!$G$2:$G$60,0)),"Not Recorded"))</f>
        <v>None</v>
      </c>
      <c r="U46" s="45" t="str">
        <f aca="false">IF(ISNUMBER(K46),Lists!$K$2-K46,"")</f>
        <v/>
      </c>
      <c r="V46" s="46" t="n">
        <f aca="false">IF(AND(ISNUMBER(P46),P46&lt;Lists!$K$2,S46&lt;&gt;"On Hold"),1,0)</f>
        <v>0</v>
      </c>
      <c r="W46" s="45" t="n">
        <f aca="false">IF(V46=1,Lists!$K$2-P46,0)</f>
        <v>0</v>
      </c>
      <c r="X46" s="45" t="n">
        <f aca="false">IF(AND(ISNUMBER(K46),S46&lt;&gt;"On Hold"),IF(Lists!$K$2-K46&gt;Lists!$K$3,1,0),0)</f>
        <v>0</v>
      </c>
      <c r="Y46" s="46" t="n">
        <f aca="false">(F46="")+IF(F46="",0,ISERROR(FIND("@",F46))*1)+(D46="")+(I46="")+(R46="Not Recorded")+(S46="Not Recorded")+(T46="Not Recorded")+((ISTEXT(J46)+ISTEXT(K46)+ISTEXT(P46))&gt;0)+IF(AND(ISNUMBER(J46),ISNUMBER(K46)),(K46&lt;J46)*1,0)+IF(ISNUMBER(K46),(K46&gt;Lists!$K$2)*1,0)+(COUNTIF($B$2:$B$79,B46)&gt;1)+IF(S46="Not Started",(N46&gt;0)*1,IF(S46="Not Recorded",0,(N46=0)*1))+IF(AND(S46&lt;&gt;"Not Started",S46&lt;&gt;"Not Recorded"),(K46="")*1,0)+(P46="")+(G46="")+IF(G46="",0,(LEFT(G46,1)&lt;&gt;"+")*1)</f>
        <v>1</v>
      </c>
      <c r="Z46" s="47" t="n">
        <f aca="false">IF(V46=1,W46+ROW()/100000,0)</f>
        <v>0</v>
      </c>
      <c r="AA46" s="45" t="n">
        <f aca="false">IF(OR(S46="In Discussion",S46="Meeting Scheduled",S46="Partnership Active"),1,0)</f>
        <v>0</v>
      </c>
      <c r="AB46" s="45" t="n">
        <f aca="false">IF(AND(S46&lt;&gt;"Not Started",S46&lt;&gt;"Not Recorded"),1,0)</f>
        <v>0</v>
      </c>
    </row>
    <row r="47" customFormat="false" ht="15" hidden="false" customHeight="false" outlineLevel="0" collapsed="false">
      <c r="A47" s="38" t="s">
        <v>431</v>
      </c>
      <c r="B47" s="38" t="s">
        <v>432</v>
      </c>
      <c r="C47" s="38" t="s">
        <v>30</v>
      </c>
      <c r="D47" s="38" t="s">
        <v>433</v>
      </c>
      <c r="E47" s="38" t="s">
        <v>190</v>
      </c>
      <c r="F47" s="38" t="s">
        <v>434</v>
      </c>
      <c r="G47" s="38" t="s">
        <v>435</v>
      </c>
      <c r="H47" s="38" t="s">
        <v>107</v>
      </c>
      <c r="I47" s="38" t="s">
        <v>54</v>
      </c>
      <c r="J47" s="44" t="n">
        <v>46236</v>
      </c>
      <c r="K47" s="44" t="n">
        <v>46256</v>
      </c>
      <c r="L47" s="38" t="s">
        <v>436</v>
      </c>
      <c r="M47" s="38" t="s">
        <v>25</v>
      </c>
      <c r="N47" s="38" t="n">
        <v>6</v>
      </c>
      <c r="O47" s="38" t="s">
        <v>216</v>
      </c>
      <c r="P47" s="44" t="n">
        <v>46288</v>
      </c>
      <c r="Q47" s="38" t="s">
        <v>226</v>
      </c>
      <c r="R47" s="45" t="str">
        <f aca="false">IF(TRIM(C47)="","Not Recorded",IFERROR(INDEX(Lists!$B$2:$B$60,MATCH(TRIM(C47),Lists!$A$2:$A$60,0)),"Not Recorded"))</f>
        <v>Africa</v>
      </c>
      <c r="S47" s="45" t="str">
        <f aca="false">IF(TRIM(L47)="","Not Recorded",IFERROR(INDEX(Lists!$E$2:$E$60,MATCH(TRIM(L47),Lists!$D$2:$D$60,0)),"Not Recorded"))</f>
        <v>On Hold</v>
      </c>
      <c r="T47" s="45" t="str">
        <f aca="false">IF(TRIM(M47)="","Not Recorded",IFERROR(INDEX(Lists!$H$2:$H$60,MATCH(TRIM(M47),Lists!$G$2:$G$60,0)),"Not Recorded"))</f>
        <v>Medium</v>
      </c>
      <c r="U47" s="45" t="n">
        <f aca="false">IF(ISNUMBER(K47),Lists!$K$2-K47,"")</f>
        <v>45</v>
      </c>
      <c r="V47" s="46" t="n">
        <f aca="false">IF(AND(ISNUMBER(P47),P47&lt;Lists!$K$2,S47&lt;&gt;"On Hold"),1,0)</f>
        <v>0</v>
      </c>
      <c r="W47" s="45" t="n">
        <f aca="false">IF(V47=1,Lists!$K$2-P47,0)</f>
        <v>0</v>
      </c>
      <c r="X47" s="45" t="n">
        <f aca="false">IF(AND(ISNUMBER(K47),S47&lt;&gt;"On Hold"),IF(Lists!$K$2-K47&gt;Lists!$K$3,1,0),0)</f>
        <v>0</v>
      </c>
      <c r="Y47" s="46" t="n">
        <f aca="false">(F47="")+IF(F47="",0,ISERROR(FIND("@",F47))*1)+(D47="")+(I47="")+(R47="Not Recorded")+(S47="Not Recorded")+(T47="Not Recorded")+((ISTEXT(J47)+ISTEXT(K47)+ISTEXT(P47))&gt;0)+IF(AND(ISNUMBER(J47),ISNUMBER(K47)),(K47&lt;J47)*1,0)+IF(ISNUMBER(K47),(K47&gt;Lists!$K$2)*1,0)+(COUNTIF($B$2:$B$79,B47)&gt;1)+IF(S47="Not Started",(N47&gt;0)*1,IF(S47="Not Recorded",0,(N47=0)*1))+IF(AND(S47&lt;&gt;"Not Started",S47&lt;&gt;"Not Recorded"),(K47="")*1,0)+(P47="")+(G47="")+IF(G47="",0,(LEFT(G47,1)&lt;&gt;"+")*1)</f>
        <v>0</v>
      </c>
      <c r="Z47" s="47" t="n">
        <f aca="false">IF(V47=1,W47+ROW()/100000,0)</f>
        <v>0</v>
      </c>
      <c r="AA47" s="45" t="n">
        <f aca="false">IF(OR(S47="In Discussion",S47="Meeting Scheduled",S47="Partnership Active"),1,0)</f>
        <v>0</v>
      </c>
      <c r="AB47" s="45" t="n">
        <f aca="false">IF(AND(S47&lt;&gt;"Not Started",S47&lt;&gt;"Not Recorded"),1,0)</f>
        <v>1</v>
      </c>
    </row>
    <row r="48" customFormat="false" ht="15" hidden="false" customHeight="false" outlineLevel="0" collapsed="false">
      <c r="A48" s="38" t="s">
        <v>437</v>
      </c>
      <c r="B48" s="38" t="s">
        <v>438</v>
      </c>
      <c r="C48" s="38" t="s">
        <v>22</v>
      </c>
      <c r="D48" s="38" t="s">
        <v>439</v>
      </c>
      <c r="E48" s="38" t="s">
        <v>252</v>
      </c>
      <c r="F48" s="38" t="s">
        <v>440</v>
      </c>
      <c r="G48" s="38" t="s">
        <v>441</v>
      </c>
      <c r="H48" s="38" t="s">
        <v>215</v>
      </c>
      <c r="I48" s="38" t="s">
        <v>50</v>
      </c>
      <c r="J48" s="44" t="n">
        <v>46226</v>
      </c>
      <c r="K48" s="44" t="n">
        <v>46226</v>
      </c>
      <c r="L48" s="38" t="s">
        <v>26</v>
      </c>
      <c r="M48" s="38" t="s">
        <v>31</v>
      </c>
      <c r="N48" s="38" t="n">
        <v>1</v>
      </c>
      <c r="O48" s="38" t="s">
        <v>194</v>
      </c>
      <c r="P48" s="38"/>
      <c r="Q48" s="38" t="s">
        <v>208</v>
      </c>
      <c r="R48" s="45" t="str">
        <f aca="false">IF(TRIM(C48)="","Not Recorded",IFERROR(INDEX(Lists!$B$2:$B$60,MATCH(TRIM(C48),Lists!$A$2:$A$60,0)),"Not Recorded"))</f>
        <v>Europe</v>
      </c>
      <c r="S48" s="45" t="str">
        <f aca="false">IF(TRIM(L48)="","Not Recorded",IFERROR(INDEX(Lists!$E$2:$E$60,MATCH(TRIM(L48),Lists!$D$2:$D$60,0)),"Not Recorded"))</f>
        <v>No Response</v>
      </c>
      <c r="T48" s="45" t="str">
        <f aca="false">IF(TRIM(M48)="","Not Recorded",IFERROR(INDEX(Lists!$H$2:$H$60,MATCH(TRIM(M48),Lists!$G$2:$G$60,0)),"Not Recorded"))</f>
        <v>None</v>
      </c>
      <c r="U48" s="45" t="n">
        <f aca="false">IF(ISNUMBER(K48),Lists!$K$2-K48,"")</f>
        <v>75</v>
      </c>
      <c r="V48" s="46" t="n">
        <f aca="false">IF(AND(ISNUMBER(P48),P48&lt;Lists!$K$2,S48&lt;&gt;"On Hold"),1,0)</f>
        <v>0</v>
      </c>
      <c r="W48" s="45" t="n">
        <f aca="false">IF(V48=1,Lists!$K$2-P48,0)</f>
        <v>0</v>
      </c>
      <c r="X48" s="45" t="n">
        <f aca="false">IF(AND(ISNUMBER(K48),S48&lt;&gt;"On Hold"),IF(Lists!$K$2-K48&gt;Lists!$K$3,1,0),0)</f>
        <v>1</v>
      </c>
      <c r="Y48" s="46" t="n">
        <f aca="false">(F48="")+IF(F48="",0,ISERROR(FIND("@",F48))*1)+(D48="")+(I48="")+(R48="Not Recorded")+(S48="Not Recorded")+(T48="Not Recorded")+((ISTEXT(J48)+ISTEXT(K48)+ISTEXT(P48))&gt;0)+IF(AND(ISNUMBER(J48),ISNUMBER(K48)),(K48&lt;J48)*1,0)+IF(ISNUMBER(K48),(K48&gt;Lists!$K$2)*1,0)+(COUNTIF($B$2:$B$79,B48)&gt;1)+IF(S48="Not Started",(N48&gt;0)*1,IF(S48="Not Recorded",0,(N48=0)*1))+IF(AND(S48&lt;&gt;"Not Started",S48&lt;&gt;"Not Recorded"),(K48="")*1,0)+(P48="")+(G48="")+IF(G48="",0,(LEFT(G48,1)&lt;&gt;"+")*1)</f>
        <v>1</v>
      </c>
      <c r="Z48" s="47" t="n">
        <f aca="false">IF(V48=1,W48+ROW()/100000,0)</f>
        <v>0</v>
      </c>
      <c r="AA48" s="45" t="n">
        <f aca="false">IF(OR(S48="In Discussion",S48="Meeting Scheduled",S48="Partnership Active"),1,0)</f>
        <v>0</v>
      </c>
      <c r="AB48" s="45" t="n">
        <f aca="false">IF(AND(S48&lt;&gt;"Not Started",S48&lt;&gt;"Not Recorded"),1,0)</f>
        <v>1</v>
      </c>
    </row>
    <row r="49" customFormat="false" ht="15" hidden="false" customHeight="false" outlineLevel="0" collapsed="false">
      <c r="A49" s="38" t="s">
        <v>442</v>
      </c>
      <c r="B49" s="38" t="s">
        <v>443</v>
      </c>
      <c r="C49" s="38" t="s">
        <v>22</v>
      </c>
      <c r="D49" s="38" t="s">
        <v>444</v>
      </c>
      <c r="E49" s="38" t="s">
        <v>258</v>
      </c>
      <c r="F49" s="38" t="s">
        <v>445</v>
      </c>
      <c r="G49" s="38" t="s">
        <v>446</v>
      </c>
      <c r="H49" s="38" t="s">
        <v>261</v>
      </c>
      <c r="I49" s="38" t="s">
        <v>46</v>
      </c>
      <c r="J49" s="44" t="n">
        <v>46272</v>
      </c>
      <c r="K49" s="44" t="n">
        <v>46294</v>
      </c>
      <c r="L49" s="38" t="s">
        <v>29</v>
      </c>
      <c r="M49" s="38" t="s">
        <v>25</v>
      </c>
      <c r="N49" s="38" t="n">
        <v>6</v>
      </c>
      <c r="O49" s="38" t="s">
        <v>207</v>
      </c>
      <c r="P49" s="44" t="n">
        <v>46311</v>
      </c>
      <c r="Q49" s="38" t="s">
        <v>279</v>
      </c>
      <c r="R49" s="45" t="str">
        <f aca="false">IF(TRIM(C49)="","Not Recorded",IFERROR(INDEX(Lists!$B$2:$B$60,MATCH(TRIM(C49),Lists!$A$2:$A$60,0)),"Not Recorded"))</f>
        <v>Europe</v>
      </c>
      <c r="S49" s="45" t="str">
        <f aca="false">IF(TRIM(L49)="","Not Recorded",IFERROR(INDEX(Lists!$E$2:$E$60,MATCH(TRIM(L49),Lists!$D$2:$D$60,0)),"Not Recorded"))</f>
        <v>In Discussion</v>
      </c>
      <c r="T49" s="45" t="str">
        <f aca="false">IF(TRIM(M49)="","Not Recorded",IFERROR(INDEX(Lists!$H$2:$H$60,MATCH(TRIM(M49),Lists!$G$2:$G$60,0)),"Not Recorded"))</f>
        <v>Medium</v>
      </c>
      <c r="U49" s="45" t="n">
        <f aca="false">IF(ISNUMBER(K49),Lists!$K$2-K49,"")</f>
        <v>7</v>
      </c>
      <c r="V49" s="46" t="n">
        <f aca="false">IF(AND(ISNUMBER(P49),P49&lt;Lists!$K$2,S49&lt;&gt;"On Hold"),1,0)</f>
        <v>0</v>
      </c>
      <c r="W49" s="45" t="n">
        <f aca="false">IF(V49=1,Lists!$K$2-P49,0)</f>
        <v>0</v>
      </c>
      <c r="X49" s="45" t="n">
        <f aca="false">IF(AND(ISNUMBER(K49),S49&lt;&gt;"On Hold"),IF(Lists!$K$2-K49&gt;Lists!$K$3,1,0),0)</f>
        <v>0</v>
      </c>
      <c r="Y49" s="46" t="n">
        <f aca="false">(F49="")+IF(F49="",0,ISERROR(FIND("@",F49))*1)+(D49="")+(I49="")+(R49="Not Recorded")+(S49="Not Recorded")+(T49="Not Recorded")+((ISTEXT(J49)+ISTEXT(K49)+ISTEXT(P49))&gt;0)+IF(AND(ISNUMBER(J49),ISNUMBER(K49)),(K49&lt;J49)*1,0)+IF(ISNUMBER(K49),(K49&gt;Lists!$K$2)*1,0)+(COUNTIF($B$2:$B$79,B49)&gt;1)+IF(S49="Not Started",(N49&gt;0)*1,IF(S49="Not Recorded",0,(N49=0)*1))+IF(AND(S49&lt;&gt;"Not Started",S49&lt;&gt;"Not Recorded"),(K49="")*1,0)+(P49="")+(G49="")+IF(G49="",0,(LEFT(G49,1)&lt;&gt;"+")*1)</f>
        <v>0</v>
      </c>
      <c r="Z49" s="47" t="n">
        <f aca="false">IF(V49=1,W49+ROW()/100000,0)</f>
        <v>0</v>
      </c>
      <c r="AA49" s="45" t="n">
        <f aca="false">IF(OR(S49="In Discussion",S49="Meeting Scheduled",S49="Partnership Active"),1,0)</f>
        <v>1</v>
      </c>
      <c r="AB49" s="45" t="n">
        <f aca="false">IF(AND(S49&lt;&gt;"Not Started",S49&lt;&gt;"Not Recorded"),1,0)</f>
        <v>1</v>
      </c>
    </row>
    <row r="50" customFormat="false" ht="15" hidden="false" customHeight="false" outlineLevel="0" collapsed="false">
      <c r="A50" s="38" t="s">
        <v>447</v>
      </c>
      <c r="B50" s="38" t="s">
        <v>448</v>
      </c>
      <c r="C50" s="38" t="s">
        <v>24</v>
      </c>
      <c r="D50" s="38" t="s">
        <v>449</v>
      </c>
      <c r="E50" s="38" t="s">
        <v>190</v>
      </c>
      <c r="F50" s="38"/>
      <c r="G50" s="38" t="s">
        <v>450</v>
      </c>
      <c r="H50" s="38" t="s">
        <v>241</v>
      </c>
      <c r="I50" s="38" t="s">
        <v>52</v>
      </c>
      <c r="J50" s="44" t="n">
        <v>46157</v>
      </c>
      <c r="K50" s="44" t="n">
        <v>46278</v>
      </c>
      <c r="L50" s="38" t="s">
        <v>32</v>
      </c>
      <c r="M50" s="38" t="s">
        <v>25</v>
      </c>
      <c r="N50" s="38" t="n">
        <v>4</v>
      </c>
      <c r="O50" s="38" t="s">
        <v>262</v>
      </c>
      <c r="P50" s="44" t="n">
        <v>46288</v>
      </c>
      <c r="Q50" s="38" t="s">
        <v>187</v>
      </c>
      <c r="R50" s="45" t="str">
        <f aca="false">IF(TRIM(C50)="","Not Recorded",IFERROR(INDEX(Lists!$B$2:$B$60,MATCH(TRIM(C50),Lists!$A$2:$A$60,0)),"Not Recorded"))</f>
        <v>Asia-Pacific</v>
      </c>
      <c r="S50" s="45" t="str">
        <f aca="false">IF(TRIM(L50)="","Not Recorded",IFERROR(INDEX(Lists!$E$2:$E$60,MATCH(TRIM(L50),Lists!$D$2:$D$60,0)),"Not Recorded"))</f>
        <v>Meeting Scheduled</v>
      </c>
      <c r="T50" s="45" t="str">
        <f aca="false">IF(TRIM(M50)="","Not Recorded",IFERROR(INDEX(Lists!$H$2:$H$60,MATCH(TRIM(M50),Lists!$G$2:$G$60,0)),"Not Recorded"))</f>
        <v>Medium</v>
      </c>
      <c r="U50" s="45" t="n">
        <f aca="false">IF(ISNUMBER(K50),Lists!$K$2-K50,"")</f>
        <v>23</v>
      </c>
      <c r="V50" s="46" t="n">
        <f aca="false">IF(AND(ISNUMBER(P50),P50&lt;Lists!$K$2,S50&lt;&gt;"On Hold"),1,0)</f>
        <v>1</v>
      </c>
      <c r="W50" s="45" t="n">
        <f aca="false">IF(V50=1,Lists!$K$2-P50,0)</f>
        <v>13</v>
      </c>
      <c r="X50" s="45" t="n">
        <f aca="false">IF(AND(ISNUMBER(K50),S50&lt;&gt;"On Hold"),IF(Lists!$K$2-K50&gt;Lists!$K$3,1,0),0)</f>
        <v>0</v>
      </c>
      <c r="Y50" s="46" t="n">
        <f aca="false">(F50="")+IF(F50="",0,ISERROR(FIND("@",F50))*1)+(D50="")+(I50="")+(R50="Not Recorded")+(S50="Not Recorded")+(T50="Not Recorded")+((ISTEXT(J50)+ISTEXT(K50)+ISTEXT(P50))&gt;0)+IF(AND(ISNUMBER(J50),ISNUMBER(K50)),(K50&lt;J50)*1,0)+IF(ISNUMBER(K50),(K50&gt;Lists!$K$2)*1,0)+(COUNTIF($B$2:$B$79,B50)&gt;1)+IF(S50="Not Started",(N50&gt;0)*1,IF(S50="Not Recorded",0,(N50=0)*1))+IF(AND(S50&lt;&gt;"Not Started",S50&lt;&gt;"Not Recorded"),(K50="")*1,0)+(P50="")+(G50="")+IF(G50="",0,(LEFT(G50,1)&lt;&gt;"+")*1)</f>
        <v>1</v>
      </c>
      <c r="Z50" s="47" t="n">
        <f aca="false">IF(V50=1,W50+ROW()/100000,0)</f>
        <v>13.0005</v>
      </c>
      <c r="AA50" s="45" t="n">
        <f aca="false">IF(OR(S50="In Discussion",S50="Meeting Scheduled",S50="Partnership Active"),1,0)</f>
        <v>1</v>
      </c>
      <c r="AB50" s="45" t="n">
        <f aca="false">IF(AND(S50&lt;&gt;"Not Started",S50&lt;&gt;"Not Recorded"),1,0)</f>
        <v>1</v>
      </c>
    </row>
    <row r="51" customFormat="false" ht="15" hidden="false" customHeight="false" outlineLevel="0" collapsed="false">
      <c r="A51" s="38" t="s">
        <v>451</v>
      </c>
      <c r="B51" s="38" t="s">
        <v>452</v>
      </c>
      <c r="C51" s="38" t="s">
        <v>22</v>
      </c>
      <c r="D51" s="38" t="s">
        <v>453</v>
      </c>
      <c r="E51" s="38" t="s">
        <v>212</v>
      </c>
      <c r="F51" s="38" t="s">
        <v>454</v>
      </c>
      <c r="G51" s="38" t="s">
        <v>455</v>
      </c>
      <c r="H51" s="38" t="s">
        <v>261</v>
      </c>
      <c r="I51" s="38" t="s">
        <v>50</v>
      </c>
      <c r="J51" s="44" t="n">
        <v>46264</v>
      </c>
      <c r="K51" s="44" t="n">
        <v>46299</v>
      </c>
      <c r="L51" s="38" t="s">
        <v>32</v>
      </c>
      <c r="M51" s="38" t="s">
        <v>23</v>
      </c>
      <c r="N51" s="38" t="n">
        <v>9</v>
      </c>
      <c r="O51" s="38" t="s">
        <v>262</v>
      </c>
      <c r="P51" s="44" t="n">
        <v>46312</v>
      </c>
      <c r="Q51" s="38" t="s">
        <v>329</v>
      </c>
      <c r="R51" s="45" t="str">
        <f aca="false">IF(TRIM(C51)="","Not Recorded",IFERROR(INDEX(Lists!$B$2:$B$60,MATCH(TRIM(C51),Lists!$A$2:$A$60,0)),"Not Recorded"))</f>
        <v>Europe</v>
      </c>
      <c r="S51" s="45" t="str">
        <f aca="false">IF(TRIM(L51)="","Not Recorded",IFERROR(INDEX(Lists!$E$2:$E$60,MATCH(TRIM(L51),Lists!$D$2:$D$60,0)),"Not Recorded"))</f>
        <v>Meeting Scheduled</v>
      </c>
      <c r="T51" s="45" t="str">
        <f aca="false">IF(TRIM(M51)="","Not Recorded",IFERROR(INDEX(Lists!$H$2:$H$60,MATCH(TRIM(M51),Lists!$G$2:$G$60,0)),"Not Recorded"))</f>
        <v>High</v>
      </c>
      <c r="U51" s="45" t="n">
        <f aca="false">IF(ISNUMBER(K51),Lists!$K$2-K51,"")</f>
        <v>2</v>
      </c>
      <c r="V51" s="46" t="n">
        <f aca="false">IF(AND(ISNUMBER(P51),P51&lt;Lists!$K$2,S51&lt;&gt;"On Hold"),1,0)</f>
        <v>0</v>
      </c>
      <c r="W51" s="45" t="n">
        <f aca="false">IF(V51=1,Lists!$K$2-P51,0)</f>
        <v>0</v>
      </c>
      <c r="X51" s="45" t="n">
        <f aca="false">IF(AND(ISNUMBER(K51),S51&lt;&gt;"On Hold"),IF(Lists!$K$2-K51&gt;Lists!$K$3,1,0),0)</f>
        <v>0</v>
      </c>
      <c r="Y51" s="46" t="n">
        <f aca="false">(F51="")+IF(F51="",0,ISERROR(FIND("@",F51))*1)+(D51="")+(I51="")+(R51="Not Recorded")+(S51="Not Recorded")+(T51="Not Recorded")+((ISTEXT(J51)+ISTEXT(K51)+ISTEXT(P51))&gt;0)+IF(AND(ISNUMBER(J51),ISNUMBER(K51)),(K51&lt;J51)*1,0)+IF(ISNUMBER(K51),(K51&gt;Lists!$K$2)*1,0)+(COUNTIF($B$2:$B$79,B51)&gt;1)+IF(S51="Not Started",(N51&gt;0)*1,IF(S51="Not Recorded",0,(N51=0)*1))+IF(AND(S51&lt;&gt;"Not Started",S51&lt;&gt;"Not Recorded"),(K51="")*1,0)+(P51="")+(G51="")+IF(G51="",0,(LEFT(G51,1)&lt;&gt;"+")*1)</f>
        <v>0</v>
      </c>
      <c r="Z51" s="47" t="n">
        <f aca="false">IF(V51=1,W51+ROW()/100000,0)</f>
        <v>0</v>
      </c>
      <c r="AA51" s="45" t="n">
        <f aca="false">IF(OR(S51="In Discussion",S51="Meeting Scheduled",S51="Partnership Active"),1,0)</f>
        <v>1</v>
      </c>
      <c r="AB51" s="45" t="n">
        <f aca="false">IF(AND(S51&lt;&gt;"Not Started",S51&lt;&gt;"Not Recorded"),1,0)</f>
        <v>1</v>
      </c>
    </row>
    <row r="52" customFormat="false" ht="15" hidden="false" customHeight="false" outlineLevel="0" collapsed="false">
      <c r="A52" s="38" t="s">
        <v>456</v>
      </c>
      <c r="B52" s="38" t="s">
        <v>457</v>
      </c>
      <c r="C52" s="38" t="s">
        <v>458</v>
      </c>
      <c r="D52" s="38" t="s">
        <v>297</v>
      </c>
      <c r="E52" s="38" t="s">
        <v>238</v>
      </c>
      <c r="F52" s="38" t="s">
        <v>459</v>
      </c>
      <c r="G52" s="38" t="s">
        <v>460</v>
      </c>
      <c r="H52" s="38" t="s">
        <v>114</v>
      </c>
      <c r="I52" s="38" t="s">
        <v>46</v>
      </c>
      <c r="J52" s="44" t="n">
        <v>46093</v>
      </c>
      <c r="K52" s="44" t="n">
        <v>46238</v>
      </c>
      <c r="L52" s="38" t="s">
        <v>37</v>
      </c>
      <c r="M52" s="38" t="s">
        <v>25</v>
      </c>
      <c r="N52" s="38" t="n">
        <v>3</v>
      </c>
      <c r="O52" s="38" t="s">
        <v>216</v>
      </c>
      <c r="P52" s="44" t="n">
        <v>46286</v>
      </c>
      <c r="Q52" s="38" t="s">
        <v>279</v>
      </c>
      <c r="R52" s="45" t="str">
        <f aca="false">IF(TRIM(C52)="","Not Recorded",IFERROR(INDEX(Lists!$B$2:$B$60,MATCH(TRIM(C52),Lists!$A$2:$A$60,0)),"Not Recorded"))</f>
        <v>Europe</v>
      </c>
      <c r="S52" s="45" t="str">
        <f aca="false">IF(TRIM(L52)="","Not Recorded",IFERROR(INDEX(Lists!$E$2:$E$60,MATCH(TRIM(L52),Lists!$D$2:$D$60,0)),"Not Recorded"))</f>
        <v>On Hold</v>
      </c>
      <c r="T52" s="45" t="str">
        <f aca="false">IF(TRIM(M52)="","Not Recorded",IFERROR(INDEX(Lists!$H$2:$H$60,MATCH(TRIM(M52),Lists!$G$2:$G$60,0)),"Not Recorded"))</f>
        <v>Medium</v>
      </c>
      <c r="U52" s="45" t="n">
        <f aca="false">IF(ISNUMBER(K52),Lists!$K$2-K52,"")</f>
        <v>63</v>
      </c>
      <c r="V52" s="46" t="n">
        <f aca="false">IF(AND(ISNUMBER(P52),P52&lt;Lists!$K$2,S52&lt;&gt;"On Hold"),1,0)</f>
        <v>0</v>
      </c>
      <c r="W52" s="45" t="n">
        <f aca="false">IF(V52=1,Lists!$K$2-P52,0)</f>
        <v>0</v>
      </c>
      <c r="X52" s="45" t="n">
        <f aca="false">IF(AND(ISNUMBER(K52),S52&lt;&gt;"On Hold"),IF(Lists!$K$2-K52&gt;Lists!$K$3,1,0),0)</f>
        <v>0</v>
      </c>
      <c r="Y52" s="46" t="n">
        <f aca="false">(F52="")+IF(F52="",0,ISERROR(FIND("@",F52))*1)+(D52="")+(I52="")+(R52="Not Recorded")+(S52="Not Recorded")+(T52="Not Recorded")+((ISTEXT(J52)+ISTEXT(K52)+ISTEXT(P52))&gt;0)+IF(AND(ISNUMBER(J52),ISNUMBER(K52)),(K52&lt;J52)*1,0)+IF(ISNUMBER(K52),(K52&gt;Lists!$K$2)*1,0)+(COUNTIF($B$2:$B$79,B52)&gt;1)+IF(S52="Not Started",(N52&gt;0)*1,IF(S52="Not Recorded",0,(N52=0)*1))+IF(AND(S52&lt;&gt;"Not Started",S52&lt;&gt;"Not Recorded"),(K52="")*1,0)+(P52="")+(G52="")+IF(G52="",0,(LEFT(G52,1)&lt;&gt;"+")*1)</f>
        <v>0</v>
      </c>
      <c r="Z52" s="47" t="n">
        <f aca="false">IF(V52=1,W52+ROW()/100000,0)</f>
        <v>0</v>
      </c>
      <c r="AA52" s="45" t="n">
        <f aca="false">IF(OR(S52="In Discussion",S52="Meeting Scheduled",S52="Partnership Active"),1,0)</f>
        <v>0</v>
      </c>
      <c r="AB52" s="45" t="n">
        <f aca="false">IF(AND(S52&lt;&gt;"Not Started",S52&lt;&gt;"Not Recorded"),1,0)</f>
        <v>1</v>
      </c>
    </row>
    <row r="53" customFormat="false" ht="15" hidden="false" customHeight="false" outlineLevel="0" collapsed="false">
      <c r="A53" s="38" t="s">
        <v>461</v>
      </c>
      <c r="B53" s="38" t="s">
        <v>462</v>
      </c>
      <c r="C53" s="38" t="s">
        <v>30</v>
      </c>
      <c r="D53" s="38" t="s">
        <v>463</v>
      </c>
      <c r="E53" s="38" t="s">
        <v>190</v>
      </c>
      <c r="F53" s="38" t="s">
        <v>464</v>
      </c>
      <c r="G53" s="38" t="s">
        <v>465</v>
      </c>
      <c r="H53" s="38" t="s">
        <v>114</v>
      </c>
      <c r="I53" s="38" t="s">
        <v>48</v>
      </c>
      <c r="J53" s="44" t="n">
        <v>46277</v>
      </c>
      <c r="K53" s="44" t="n">
        <v>46277</v>
      </c>
      <c r="L53" s="38" t="s">
        <v>15</v>
      </c>
      <c r="M53" s="38" t="s">
        <v>28</v>
      </c>
      <c r="N53" s="38" t="n">
        <v>1</v>
      </c>
      <c r="O53" s="38" t="s">
        <v>234</v>
      </c>
      <c r="P53" s="44" t="n">
        <v>46287</v>
      </c>
      <c r="Q53" s="38" t="s">
        <v>268</v>
      </c>
      <c r="R53" s="45" t="str">
        <f aca="false">IF(TRIM(C53)="","Not Recorded",IFERROR(INDEX(Lists!$B$2:$B$60,MATCH(TRIM(C53),Lists!$A$2:$A$60,0)),"Not Recorded"))</f>
        <v>Africa</v>
      </c>
      <c r="S53" s="45" t="str">
        <f aca="false">IF(TRIM(L53)="","Not Recorded",IFERROR(INDEX(Lists!$E$2:$E$60,MATCH(TRIM(L53),Lists!$D$2:$D$60,0)),"Not Recorded"))</f>
        <v>Contacted</v>
      </c>
      <c r="T53" s="45" t="str">
        <f aca="false">IF(TRIM(M53)="","Not Recorded",IFERROR(INDEX(Lists!$H$2:$H$60,MATCH(TRIM(M53),Lists!$G$2:$G$60,0)),"Not Recorded"))</f>
        <v>Low</v>
      </c>
      <c r="U53" s="45" t="n">
        <f aca="false">IF(ISNUMBER(K53),Lists!$K$2-K53,"")</f>
        <v>24</v>
      </c>
      <c r="V53" s="46" t="n">
        <f aca="false">IF(AND(ISNUMBER(P53),P53&lt;Lists!$K$2,S53&lt;&gt;"On Hold"),1,0)</f>
        <v>1</v>
      </c>
      <c r="W53" s="45" t="n">
        <f aca="false">IF(V53=1,Lists!$K$2-P53,0)</f>
        <v>14</v>
      </c>
      <c r="X53" s="45" t="n">
        <f aca="false">IF(AND(ISNUMBER(K53),S53&lt;&gt;"On Hold"),IF(Lists!$K$2-K53&gt;Lists!$K$3,1,0),0)</f>
        <v>0</v>
      </c>
      <c r="Y53" s="46" t="n">
        <f aca="false">(F53="")+IF(F53="",0,ISERROR(FIND("@",F53))*1)+(D53="")+(I53="")+(R53="Not Recorded")+(S53="Not Recorded")+(T53="Not Recorded")+((ISTEXT(J53)+ISTEXT(K53)+ISTEXT(P53))&gt;0)+IF(AND(ISNUMBER(J53),ISNUMBER(K53)),(K53&lt;J53)*1,0)+IF(ISNUMBER(K53),(K53&gt;Lists!$K$2)*1,0)+(COUNTIF($B$2:$B$79,B53)&gt;1)+IF(S53="Not Started",(N53&gt;0)*1,IF(S53="Not Recorded",0,(N53=0)*1))+IF(AND(S53&lt;&gt;"Not Started",S53&lt;&gt;"Not Recorded"),(K53="")*1,0)+(P53="")+(G53="")+IF(G53="",0,(LEFT(G53,1)&lt;&gt;"+")*1)</f>
        <v>1</v>
      </c>
      <c r="Z53" s="47" t="n">
        <f aca="false">IF(V53=1,W53+ROW()/100000,0)</f>
        <v>14.00053</v>
      </c>
      <c r="AA53" s="45" t="n">
        <f aca="false">IF(OR(S53="In Discussion",S53="Meeting Scheduled",S53="Partnership Active"),1,0)</f>
        <v>0</v>
      </c>
      <c r="AB53" s="45" t="n">
        <f aca="false">IF(AND(S53&lt;&gt;"Not Started",S53&lt;&gt;"Not Recorded"),1,0)</f>
        <v>1</v>
      </c>
    </row>
    <row r="54" customFormat="false" ht="15" hidden="false" customHeight="false" outlineLevel="0" collapsed="false">
      <c r="A54" s="38" t="s">
        <v>466</v>
      </c>
      <c r="B54" s="38" t="s">
        <v>467</v>
      </c>
      <c r="C54" s="38" t="s">
        <v>296</v>
      </c>
      <c r="D54" s="38" t="s">
        <v>468</v>
      </c>
      <c r="E54" s="38" t="s">
        <v>238</v>
      </c>
      <c r="F54" s="38"/>
      <c r="G54" s="38" t="s">
        <v>469</v>
      </c>
      <c r="H54" s="38" t="s">
        <v>261</v>
      </c>
      <c r="I54" s="38" t="s">
        <v>44</v>
      </c>
      <c r="J54" s="44" t="n">
        <v>46265</v>
      </c>
      <c r="K54" s="44" t="n">
        <v>46265</v>
      </c>
      <c r="L54" s="38" t="s">
        <v>15</v>
      </c>
      <c r="M54" s="38"/>
      <c r="N54" s="38" t="n">
        <v>1</v>
      </c>
      <c r="O54" s="38" t="s">
        <v>234</v>
      </c>
      <c r="P54" s="44" t="n">
        <v>46288</v>
      </c>
      <c r="Q54" s="38" t="s">
        <v>268</v>
      </c>
      <c r="R54" s="45" t="str">
        <f aca="false">IF(TRIM(C54)="","Not Recorded",IFERROR(INDEX(Lists!$B$2:$B$60,MATCH(TRIM(C54),Lists!$A$2:$A$60,0)),"Not Recorded"))</f>
        <v>Africa</v>
      </c>
      <c r="S54" s="45" t="str">
        <f aca="false">IF(TRIM(L54)="","Not Recorded",IFERROR(INDEX(Lists!$E$2:$E$60,MATCH(TRIM(L54),Lists!$D$2:$D$60,0)),"Not Recorded"))</f>
        <v>Contacted</v>
      </c>
      <c r="T54" s="45" t="str">
        <f aca="false">IF(TRIM(M54)="","Not Recorded",IFERROR(INDEX(Lists!$H$2:$H$60,MATCH(TRIM(M54),Lists!$G$2:$G$60,0)),"Not Recorded"))</f>
        <v>Not Recorded</v>
      </c>
      <c r="U54" s="45" t="n">
        <f aca="false">IF(ISNUMBER(K54),Lists!$K$2-K54,"")</f>
        <v>36</v>
      </c>
      <c r="V54" s="46" t="n">
        <f aca="false">IF(AND(ISNUMBER(P54),P54&lt;Lists!$K$2,S54&lt;&gt;"On Hold"),1,0)</f>
        <v>1</v>
      </c>
      <c r="W54" s="45" t="n">
        <f aca="false">IF(V54=1,Lists!$K$2-P54,0)</f>
        <v>13</v>
      </c>
      <c r="X54" s="45" t="n">
        <f aca="false">IF(AND(ISNUMBER(K54),S54&lt;&gt;"On Hold"),IF(Lists!$K$2-K54&gt;Lists!$K$3,1,0),0)</f>
        <v>1</v>
      </c>
      <c r="Y54" s="46" t="n">
        <f aca="false">(F54="")+IF(F54="",0,ISERROR(FIND("@",F54))*1)+(D54="")+(I54="")+(R54="Not Recorded")+(S54="Not Recorded")+(T54="Not Recorded")+((ISTEXT(J54)+ISTEXT(K54)+ISTEXT(P54))&gt;0)+IF(AND(ISNUMBER(J54),ISNUMBER(K54)),(K54&lt;J54)*1,0)+IF(ISNUMBER(K54),(K54&gt;Lists!$K$2)*1,0)+(COUNTIF($B$2:$B$79,B54)&gt;1)+IF(S54="Not Started",(N54&gt;0)*1,IF(S54="Not Recorded",0,(N54=0)*1))+IF(AND(S54&lt;&gt;"Not Started",S54&lt;&gt;"Not Recorded"),(K54="")*1,0)+(P54="")+(G54="")+IF(G54="",0,(LEFT(G54,1)&lt;&gt;"+")*1)</f>
        <v>2</v>
      </c>
      <c r="Z54" s="47" t="n">
        <f aca="false">IF(V54=1,W54+ROW()/100000,0)</f>
        <v>13.00054</v>
      </c>
      <c r="AA54" s="45" t="n">
        <f aca="false">IF(OR(S54="In Discussion",S54="Meeting Scheduled",S54="Partnership Active"),1,0)</f>
        <v>0</v>
      </c>
      <c r="AB54" s="45" t="n">
        <f aca="false">IF(AND(S54&lt;&gt;"Not Started",S54&lt;&gt;"Not Recorded"),1,0)</f>
        <v>1</v>
      </c>
    </row>
    <row r="55" customFormat="false" ht="15" hidden="false" customHeight="false" outlineLevel="0" collapsed="false">
      <c r="A55" s="38" t="s">
        <v>470</v>
      </c>
      <c r="B55" s="38" t="s">
        <v>471</v>
      </c>
      <c r="C55" s="38" t="s">
        <v>24</v>
      </c>
      <c r="D55" s="38" t="s">
        <v>472</v>
      </c>
      <c r="E55" s="38" t="s">
        <v>258</v>
      </c>
      <c r="F55" s="38" t="s">
        <v>473</v>
      </c>
      <c r="G55" s="38"/>
      <c r="H55" s="38" t="s">
        <v>107</v>
      </c>
      <c r="I55" s="38" t="s">
        <v>54</v>
      </c>
      <c r="J55" s="44" t="n">
        <v>46204</v>
      </c>
      <c r="K55" s="38"/>
      <c r="L55" s="38" t="s">
        <v>29</v>
      </c>
      <c r="M55" s="38" t="s">
        <v>23</v>
      </c>
      <c r="N55" s="38" t="n">
        <v>3</v>
      </c>
      <c r="O55" s="38" t="s">
        <v>207</v>
      </c>
      <c r="P55" s="44" t="n">
        <v>46317</v>
      </c>
      <c r="Q55" s="38" t="s">
        <v>187</v>
      </c>
      <c r="R55" s="45" t="str">
        <f aca="false">IF(TRIM(C55)="","Not Recorded",IFERROR(INDEX(Lists!$B$2:$B$60,MATCH(TRIM(C55),Lists!$A$2:$A$60,0)),"Not Recorded"))</f>
        <v>Asia-Pacific</v>
      </c>
      <c r="S55" s="45" t="str">
        <f aca="false">IF(TRIM(L55)="","Not Recorded",IFERROR(INDEX(Lists!$E$2:$E$60,MATCH(TRIM(L55),Lists!$D$2:$D$60,0)),"Not Recorded"))</f>
        <v>In Discussion</v>
      </c>
      <c r="T55" s="45" t="str">
        <f aca="false">IF(TRIM(M55)="","Not Recorded",IFERROR(INDEX(Lists!$H$2:$H$60,MATCH(TRIM(M55),Lists!$G$2:$G$60,0)),"Not Recorded"))</f>
        <v>High</v>
      </c>
      <c r="U55" s="45" t="str">
        <f aca="false">IF(ISNUMBER(K55),Lists!$K$2-K55,"")</f>
        <v/>
      </c>
      <c r="V55" s="46" t="n">
        <f aca="false">IF(AND(ISNUMBER(P55),P55&lt;Lists!$K$2,S55&lt;&gt;"On Hold"),1,0)</f>
        <v>0</v>
      </c>
      <c r="W55" s="45" t="n">
        <f aca="false">IF(V55=1,Lists!$K$2-P55,0)</f>
        <v>0</v>
      </c>
      <c r="X55" s="45" t="n">
        <f aca="false">IF(AND(ISNUMBER(K55),S55&lt;&gt;"On Hold"),IF(Lists!$K$2-K55&gt;Lists!$K$3,1,0),0)</f>
        <v>0</v>
      </c>
      <c r="Y55" s="46" t="n">
        <f aca="false">(F55="")+IF(F55="",0,ISERROR(FIND("@",F55))*1)+(D55="")+(I55="")+(R55="Not Recorded")+(S55="Not Recorded")+(T55="Not Recorded")+((ISTEXT(J55)+ISTEXT(K55)+ISTEXT(P55))&gt;0)+IF(AND(ISNUMBER(J55),ISNUMBER(K55)),(K55&lt;J55)*1,0)+IF(ISNUMBER(K55),(K55&gt;Lists!$K$2)*1,0)+(COUNTIF($B$2:$B$79,B55)&gt;1)+IF(S55="Not Started",(N55&gt;0)*1,IF(S55="Not Recorded",0,(N55=0)*1))+IF(AND(S55&lt;&gt;"Not Started",S55&lt;&gt;"Not Recorded"),(K55="")*1,0)+(P55="")+(G55="")+IF(G55="",0,(LEFT(G55,1)&lt;&gt;"+")*1)</f>
        <v>2</v>
      </c>
      <c r="Z55" s="47" t="n">
        <f aca="false">IF(V55=1,W55+ROW()/100000,0)</f>
        <v>0</v>
      </c>
      <c r="AA55" s="45" t="n">
        <f aca="false">IF(OR(S55="In Discussion",S55="Meeting Scheduled",S55="Partnership Active"),1,0)</f>
        <v>1</v>
      </c>
      <c r="AB55" s="45" t="n">
        <f aca="false">IF(AND(S55&lt;&gt;"Not Started",S55&lt;&gt;"Not Recorded"),1,0)</f>
        <v>1</v>
      </c>
    </row>
    <row r="56" customFormat="false" ht="15" hidden="false" customHeight="false" outlineLevel="0" collapsed="false">
      <c r="A56" s="38" t="s">
        <v>474</v>
      </c>
      <c r="B56" s="38" t="s">
        <v>475</v>
      </c>
      <c r="C56" s="38" t="s">
        <v>33</v>
      </c>
      <c r="D56" s="38" t="s">
        <v>476</v>
      </c>
      <c r="E56" s="38" t="s">
        <v>198</v>
      </c>
      <c r="F56" s="38" t="s">
        <v>477</v>
      </c>
      <c r="G56" s="38" t="s">
        <v>478</v>
      </c>
      <c r="H56" s="38" t="s">
        <v>215</v>
      </c>
      <c r="I56" s="38" t="s">
        <v>52</v>
      </c>
      <c r="J56" s="38"/>
      <c r="K56" s="38"/>
      <c r="L56" s="38" t="s">
        <v>21</v>
      </c>
      <c r="M56" s="38" t="s">
        <v>31</v>
      </c>
      <c r="N56" s="38" t="n">
        <v>0</v>
      </c>
      <c r="O56" s="38" t="s">
        <v>186</v>
      </c>
      <c r="P56" s="44" t="n">
        <v>46324</v>
      </c>
      <c r="Q56" s="38" t="s">
        <v>329</v>
      </c>
      <c r="R56" s="45" t="str">
        <f aca="false">IF(TRIM(C56)="","Not Recorded",IFERROR(INDEX(Lists!$B$2:$B$60,MATCH(TRIM(C56),Lists!$A$2:$A$60,0)),"Not Recorded"))</f>
        <v>Americas</v>
      </c>
      <c r="S56" s="45" t="str">
        <f aca="false">IF(TRIM(L56)="","Not Recorded",IFERROR(INDEX(Lists!$E$2:$E$60,MATCH(TRIM(L56),Lists!$D$2:$D$60,0)),"Not Recorded"))</f>
        <v>Not Started</v>
      </c>
      <c r="T56" s="45" t="str">
        <f aca="false">IF(TRIM(M56)="","Not Recorded",IFERROR(INDEX(Lists!$H$2:$H$60,MATCH(TRIM(M56),Lists!$G$2:$G$60,0)),"Not Recorded"))</f>
        <v>None</v>
      </c>
      <c r="U56" s="45" t="str">
        <f aca="false">IF(ISNUMBER(K56),Lists!$K$2-K56,"")</f>
        <v/>
      </c>
      <c r="V56" s="46" t="n">
        <f aca="false">IF(AND(ISNUMBER(P56),P56&lt;Lists!$K$2,S56&lt;&gt;"On Hold"),1,0)</f>
        <v>0</v>
      </c>
      <c r="W56" s="45" t="n">
        <f aca="false">IF(V56=1,Lists!$K$2-P56,0)</f>
        <v>0</v>
      </c>
      <c r="X56" s="45" t="n">
        <f aca="false">IF(AND(ISNUMBER(K56),S56&lt;&gt;"On Hold"),IF(Lists!$K$2-K56&gt;Lists!$K$3,1,0),0)</f>
        <v>0</v>
      </c>
      <c r="Y56" s="46" t="n">
        <f aca="false">(F56="")+IF(F56="",0,ISERROR(FIND("@",F56))*1)+(D56="")+(I56="")+(R56="Not Recorded")+(S56="Not Recorded")+(T56="Not Recorded")+((ISTEXT(J56)+ISTEXT(K56)+ISTEXT(P56))&gt;0)+IF(AND(ISNUMBER(J56),ISNUMBER(K56)),(K56&lt;J56)*1,0)+IF(ISNUMBER(K56),(K56&gt;Lists!$K$2)*1,0)+(COUNTIF($B$2:$B$79,B56)&gt;1)+IF(S56="Not Started",(N56&gt;0)*1,IF(S56="Not Recorded",0,(N56=0)*1))+IF(AND(S56&lt;&gt;"Not Started",S56&lt;&gt;"Not Recorded"),(K56="")*1,0)+(P56="")+(G56="")+IF(G56="",0,(LEFT(G56,1)&lt;&gt;"+")*1)</f>
        <v>1</v>
      </c>
      <c r="Z56" s="47" t="n">
        <f aca="false">IF(V56=1,W56+ROW()/100000,0)</f>
        <v>0</v>
      </c>
      <c r="AA56" s="45" t="n">
        <f aca="false">IF(OR(S56="In Discussion",S56="Meeting Scheduled",S56="Partnership Active"),1,0)</f>
        <v>0</v>
      </c>
      <c r="AB56" s="45" t="n">
        <f aca="false">IF(AND(S56&lt;&gt;"Not Started",S56&lt;&gt;"Not Recorded"),1,0)</f>
        <v>0</v>
      </c>
    </row>
    <row r="57" customFormat="false" ht="15" hidden="false" customHeight="false" outlineLevel="0" collapsed="false">
      <c r="A57" s="38" t="s">
        <v>479</v>
      </c>
      <c r="B57" s="38" t="s">
        <v>480</v>
      </c>
      <c r="C57" s="38" t="s">
        <v>24</v>
      </c>
      <c r="D57" s="38" t="s">
        <v>481</v>
      </c>
      <c r="E57" s="38" t="s">
        <v>190</v>
      </c>
      <c r="F57" s="38" t="s">
        <v>482</v>
      </c>
      <c r="G57" s="38" t="s">
        <v>483</v>
      </c>
      <c r="H57" s="38" t="s">
        <v>114</v>
      </c>
      <c r="I57" s="38" t="s">
        <v>46</v>
      </c>
      <c r="J57" s="44" t="n">
        <v>46285</v>
      </c>
      <c r="K57" s="44" t="n">
        <v>46285</v>
      </c>
      <c r="L57" s="38" t="s">
        <v>233</v>
      </c>
      <c r="M57" s="38" t="s">
        <v>28</v>
      </c>
      <c r="N57" s="38" t="n">
        <v>1</v>
      </c>
      <c r="O57" s="38" t="s">
        <v>234</v>
      </c>
      <c r="P57" s="44" t="n">
        <v>46316</v>
      </c>
      <c r="Q57" s="38" t="s">
        <v>208</v>
      </c>
      <c r="R57" s="45" t="str">
        <f aca="false">IF(TRIM(C57)="","Not Recorded",IFERROR(INDEX(Lists!$B$2:$B$60,MATCH(TRIM(C57),Lists!$A$2:$A$60,0)),"Not Recorded"))</f>
        <v>Asia-Pacific</v>
      </c>
      <c r="S57" s="45" t="str">
        <f aca="false">IF(TRIM(L57)="","Not Recorded",IFERROR(INDEX(Lists!$E$2:$E$60,MATCH(TRIM(L57),Lists!$D$2:$D$60,0)),"Not Recorded"))</f>
        <v>Contacted</v>
      </c>
      <c r="T57" s="45" t="str">
        <f aca="false">IF(TRIM(M57)="","Not Recorded",IFERROR(INDEX(Lists!$H$2:$H$60,MATCH(TRIM(M57),Lists!$G$2:$G$60,0)),"Not Recorded"))</f>
        <v>Low</v>
      </c>
      <c r="U57" s="45" t="n">
        <f aca="false">IF(ISNUMBER(K57),Lists!$K$2-K57,"")</f>
        <v>16</v>
      </c>
      <c r="V57" s="46" t="n">
        <f aca="false">IF(AND(ISNUMBER(P57),P57&lt;Lists!$K$2,S57&lt;&gt;"On Hold"),1,0)</f>
        <v>0</v>
      </c>
      <c r="W57" s="45" t="n">
        <f aca="false">IF(V57=1,Lists!$K$2-P57,0)</f>
        <v>0</v>
      </c>
      <c r="X57" s="45" t="n">
        <f aca="false">IF(AND(ISNUMBER(K57),S57&lt;&gt;"On Hold"),IF(Lists!$K$2-K57&gt;Lists!$K$3,1,0),0)</f>
        <v>0</v>
      </c>
      <c r="Y57" s="46" t="n">
        <f aca="false">(F57="")+IF(F57="",0,ISERROR(FIND("@",F57))*1)+(D57="")+(I57="")+(R57="Not Recorded")+(S57="Not Recorded")+(T57="Not Recorded")+((ISTEXT(J57)+ISTEXT(K57)+ISTEXT(P57))&gt;0)+IF(AND(ISNUMBER(J57),ISNUMBER(K57)),(K57&lt;J57)*1,0)+IF(ISNUMBER(K57),(K57&gt;Lists!$K$2)*1,0)+(COUNTIF($B$2:$B$79,B57)&gt;1)+IF(S57="Not Started",(N57&gt;0)*1,IF(S57="Not Recorded",0,(N57=0)*1))+IF(AND(S57&lt;&gt;"Not Started",S57&lt;&gt;"Not Recorded"),(K57="")*1,0)+(P57="")+(G57="")+IF(G57="",0,(LEFT(G57,1)&lt;&gt;"+")*1)</f>
        <v>0</v>
      </c>
      <c r="Z57" s="47" t="n">
        <f aca="false">IF(V57=1,W57+ROW()/100000,0)</f>
        <v>0</v>
      </c>
      <c r="AA57" s="45" t="n">
        <f aca="false">IF(OR(S57="In Discussion",S57="Meeting Scheduled",S57="Partnership Active"),1,0)</f>
        <v>0</v>
      </c>
      <c r="AB57" s="45" t="n">
        <f aca="false">IF(AND(S57&lt;&gt;"Not Started",S57&lt;&gt;"Not Recorded"),1,0)</f>
        <v>1</v>
      </c>
    </row>
    <row r="58" customFormat="false" ht="15" hidden="false" customHeight="false" outlineLevel="0" collapsed="false">
      <c r="A58" s="38" t="s">
        <v>484</v>
      </c>
      <c r="B58" s="38" t="s">
        <v>485</v>
      </c>
      <c r="C58" s="38" t="s">
        <v>27</v>
      </c>
      <c r="D58" s="38" t="s">
        <v>486</v>
      </c>
      <c r="E58" s="38" t="s">
        <v>190</v>
      </c>
      <c r="F58" s="38" t="s">
        <v>487</v>
      </c>
      <c r="G58" s="38" t="s">
        <v>488</v>
      </c>
      <c r="H58" s="38" t="s">
        <v>215</v>
      </c>
      <c r="I58" s="38"/>
      <c r="J58" s="44" t="n">
        <v>46140</v>
      </c>
      <c r="K58" s="44" t="n">
        <v>46126</v>
      </c>
      <c r="L58" s="38" t="s">
        <v>489</v>
      </c>
      <c r="M58" s="38" t="s">
        <v>25</v>
      </c>
      <c r="N58" s="38" t="n">
        <v>9</v>
      </c>
      <c r="O58" s="38" t="s">
        <v>242</v>
      </c>
      <c r="P58" s="44" t="n">
        <v>46277</v>
      </c>
      <c r="Q58" s="38"/>
      <c r="R58" s="45" t="str">
        <f aca="false">IF(TRIM(C58)="","Not Recorded",IFERROR(INDEX(Lists!$B$2:$B$60,MATCH(TRIM(C58),Lists!$A$2:$A$60,0)),"Not Recorded"))</f>
        <v>Middle East</v>
      </c>
      <c r="S58" s="45" t="str">
        <f aca="false">IF(TRIM(L58)="","Not Recorded",IFERROR(INDEX(Lists!$E$2:$E$60,MATCH(TRIM(L58),Lists!$D$2:$D$60,0)),"Not Recorded"))</f>
        <v>Partnership Active</v>
      </c>
      <c r="T58" s="45" t="str">
        <f aca="false">IF(TRIM(M58)="","Not Recorded",IFERROR(INDEX(Lists!$H$2:$H$60,MATCH(TRIM(M58),Lists!$G$2:$G$60,0)),"Not Recorded"))</f>
        <v>Medium</v>
      </c>
      <c r="U58" s="45" t="n">
        <f aca="false">IF(ISNUMBER(K58),Lists!$K$2-K58,"")</f>
        <v>175</v>
      </c>
      <c r="V58" s="46" t="n">
        <f aca="false">IF(AND(ISNUMBER(P58),P58&lt;Lists!$K$2,S58&lt;&gt;"On Hold"),1,0)</f>
        <v>1</v>
      </c>
      <c r="W58" s="45" t="n">
        <f aca="false">IF(V58=1,Lists!$K$2-P58,0)</f>
        <v>24</v>
      </c>
      <c r="X58" s="45" t="n">
        <f aca="false">IF(AND(ISNUMBER(K58),S58&lt;&gt;"On Hold"),IF(Lists!$K$2-K58&gt;Lists!$K$3,1,0),0)</f>
        <v>1</v>
      </c>
      <c r="Y58" s="46" t="n">
        <f aca="false">(F58="")+IF(F58="",0,ISERROR(FIND("@",F58))*1)+(D58="")+(I58="")+(R58="Not Recorded")+(S58="Not Recorded")+(T58="Not Recorded")+((ISTEXT(J58)+ISTEXT(K58)+ISTEXT(P58))&gt;0)+IF(AND(ISNUMBER(J58),ISNUMBER(K58)),(K58&lt;J58)*1,0)+IF(ISNUMBER(K58),(K58&gt;Lists!$K$2)*1,0)+(COUNTIF($B$2:$B$79,B58)&gt;1)+IF(S58="Not Started",(N58&gt;0)*1,IF(S58="Not Recorded",0,(N58=0)*1))+IF(AND(S58&lt;&gt;"Not Started",S58&lt;&gt;"Not Recorded"),(K58="")*1,0)+(P58="")+(G58="")+IF(G58="",0,(LEFT(G58,1)&lt;&gt;"+")*1)</f>
        <v>2</v>
      </c>
      <c r="Z58" s="47" t="n">
        <f aca="false">IF(V58=1,W58+ROW()/100000,0)</f>
        <v>24.00058</v>
      </c>
      <c r="AA58" s="45" t="n">
        <f aca="false">IF(OR(S58="In Discussion",S58="Meeting Scheduled",S58="Partnership Active"),1,0)</f>
        <v>1</v>
      </c>
      <c r="AB58" s="45" t="n">
        <f aca="false">IF(AND(S58&lt;&gt;"Not Started",S58&lt;&gt;"Not Recorded"),1,0)</f>
        <v>1</v>
      </c>
    </row>
    <row r="59" customFormat="false" ht="15" hidden="false" customHeight="false" outlineLevel="0" collapsed="false">
      <c r="A59" s="38" t="s">
        <v>490</v>
      </c>
      <c r="B59" s="38" t="s">
        <v>491</v>
      </c>
      <c r="C59" s="38" t="s">
        <v>27</v>
      </c>
      <c r="D59" s="38" t="s">
        <v>492</v>
      </c>
      <c r="E59" s="38" t="s">
        <v>198</v>
      </c>
      <c r="F59" s="38" t="s">
        <v>493</v>
      </c>
      <c r="G59" s="38" t="s">
        <v>494</v>
      </c>
      <c r="H59" s="38" t="s">
        <v>215</v>
      </c>
      <c r="I59" s="38" t="s">
        <v>54</v>
      </c>
      <c r="J59" s="44" t="n">
        <v>46224</v>
      </c>
      <c r="K59" s="38" t="s">
        <v>495</v>
      </c>
      <c r="L59" s="38" t="s">
        <v>29</v>
      </c>
      <c r="M59" s="38" t="s">
        <v>25</v>
      </c>
      <c r="N59" s="38" t="n">
        <v>5</v>
      </c>
      <c r="O59" s="38" t="s">
        <v>207</v>
      </c>
      <c r="P59" s="44" t="n">
        <v>46323</v>
      </c>
      <c r="Q59" s="38" t="s">
        <v>348</v>
      </c>
      <c r="R59" s="45" t="str">
        <f aca="false">IF(TRIM(C59)="","Not Recorded",IFERROR(INDEX(Lists!$B$2:$B$60,MATCH(TRIM(C59),Lists!$A$2:$A$60,0)),"Not Recorded"))</f>
        <v>Middle East</v>
      </c>
      <c r="S59" s="45" t="str">
        <f aca="false">IF(TRIM(L59)="","Not Recorded",IFERROR(INDEX(Lists!$E$2:$E$60,MATCH(TRIM(L59),Lists!$D$2:$D$60,0)),"Not Recorded"))</f>
        <v>In Discussion</v>
      </c>
      <c r="T59" s="45" t="str">
        <f aca="false">IF(TRIM(M59)="","Not Recorded",IFERROR(INDEX(Lists!$H$2:$H$60,MATCH(TRIM(M59),Lists!$G$2:$G$60,0)),"Not Recorded"))</f>
        <v>Medium</v>
      </c>
      <c r="U59" s="45" t="str">
        <f aca="false">IF(ISNUMBER(K59),Lists!$K$2-K59,"")</f>
        <v/>
      </c>
      <c r="V59" s="46" t="n">
        <f aca="false">IF(AND(ISNUMBER(P59),P59&lt;Lists!$K$2,S59&lt;&gt;"On Hold"),1,0)</f>
        <v>0</v>
      </c>
      <c r="W59" s="45" t="n">
        <f aca="false">IF(V59=1,Lists!$K$2-P59,0)</f>
        <v>0</v>
      </c>
      <c r="X59" s="45" t="n">
        <f aca="false">IF(AND(ISNUMBER(K59),S59&lt;&gt;"On Hold"),IF(Lists!$K$2-K59&gt;Lists!$K$3,1,0),0)</f>
        <v>0</v>
      </c>
      <c r="Y59" s="46" t="n">
        <f aca="false">(F59="")+IF(F59="",0,ISERROR(FIND("@",F59))*1)+(D59="")+(I59="")+(R59="Not Recorded")+(S59="Not Recorded")+(T59="Not Recorded")+((ISTEXT(J59)+ISTEXT(K59)+ISTEXT(P59))&gt;0)+IF(AND(ISNUMBER(J59),ISNUMBER(K59)),(K59&lt;J59)*1,0)+IF(ISNUMBER(K59),(K59&gt;Lists!$K$2)*1,0)+(COUNTIF($B$2:$B$79,B59)&gt;1)+IF(S59="Not Started",(N59&gt;0)*1,IF(S59="Not Recorded",0,(N59=0)*1))+IF(AND(S59&lt;&gt;"Not Started",S59&lt;&gt;"Not Recorded"),(K59="")*1,0)+(P59="")+(G59="")+IF(G59="",0,(LEFT(G59,1)&lt;&gt;"+")*1)</f>
        <v>1</v>
      </c>
      <c r="Z59" s="47" t="n">
        <f aca="false">IF(V59=1,W59+ROW()/100000,0)</f>
        <v>0</v>
      </c>
      <c r="AA59" s="45" t="n">
        <f aca="false">IF(OR(S59="In Discussion",S59="Meeting Scheduled",S59="Partnership Active"),1,0)</f>
        <v>1</v>
      </c>
      <c r="AB59" s="45" t="n">
        <f aca="false">IF(AND(S59&lt;&gt;"Not Started",S59&lt;&gt;"Not Recorded"),1,0)</f>
        <v>1</v>
      </c>
    </row>
    <row r="60" customFormat="false" ht="15" hidden="false" customHeight="false" outlineLevel="0" collapsed="false">
      <c r="A60" s="38" t="s">
        <v>496</v>
      </c>
      <c r="B60" s="38" t="s">
        <v>497</v>
      </c>
      <c r="C60" s="38" t="s">
        <v>24</v>
      </c>
      <c r="D60" s="38"/>
      <c r="E60" s="38" t="s">
        <v>198</v>
      </c>
      <c r="F60" s="38" t="s">
        <v>498</v>
      </c>
      <c r="G60" s="38" t="s">
        <v>499</v>
      </c>
      <c r="H60" s="38" t="s">
        <v>241</v>
      </c>
      <c r="I60" s="38" t="s">
        <v>44</v>
      </c>
      <c r="J60" s="44" t="n">
        <v>46257</v>
      </c>
      <c r="K60" s="44" t="n">
        <v>46321</v>
      </c>
      <c r="L60" s="38" t="s">
        <v>15</v>
      </c>
      <c r="M60" s="38" t="s">
        <v>500</v>
      </c>
      <c r="N60" s="38" t="n">
        <v>1</v>
      </c>
      <c r="O60" s="38" t="s">
        <v>234</v>
      </c>
      <c r="P60" s="44" t="n">
        <v>46272</v>
      </c>
      <c r="Q60" s="38"/>
      <c r="R60" s="45" t="str">
        <f aca="false">IF(TRIM(C60)="","Not Recorded",IFERROR(INDEX(Lists!$B$2:$B$60,MATCH(TRIM(C60),Lists!$A$2:$A$60,0)),"Not Recorded"))</f>
        <v>Asia-Pacific</v>
      </c>
      <c r="S60" s="45" t="str">
        <f aca="false">IF(TRIM(L60)="","Not Recorded",IFERROR(INDEX(Lists!$E$2:$E$60,MATCH(TRIM(L60),Lists!$D$2:$D$60,0)),"Not Recorded"))</f>
        <v>Contacted</v>
      </c>
      <c r="T60" s="45" t="str">
        <f aca="false">IF(TRIM(M60)="","Not Recorded",IFERROR(INDEX(Lists!$H$2:$H$60,MATCH(TRIM(M60),Lists!$G$2:$G$60,0)),"Not Recorded"))</f>
        <v>Medium</v>
      </c>
      <c r="U60" s="45" t="n">
        <f aca="false">IF(ISNUMBER(K60),Lists!$K$2-K60,"")</f>
        <v>-20</v>
      </c>
      <c r="V60" s="46" t="n">
        <f aca="false">IF(AND(ISNUMBER(P60),P60&lt;Lists!$K$2,S60&lt;&gt;"On Hold"),1,0)</f>
        <v>1</v>
      </c>
      <c r="W60" s="45" t="n">
        <f aca="false">IF(V60=1,Lists!$K$2-P60,0)</f>
        <v>29</v>
      </c>
      <c r="X60" s="45" t="n">
        <f aca="false">IF(AND(ISNUMBER(K60),S60&lt;&gt;"On Hold"),IF(Lists!$K$2-K60&gt;Lists!$K$3,1,0),0)</f>
        <v>0</v>
      </c>
      <c r="Y60" s="46" t="n">
        <f aca="false">(F60="")+IF(F60="",0,ISERROR(FIND("@",F60))*1)+(D60="")+(I60="")+(R60="Not Recorded")+(S60="Not Recorded")+(T60="Not Recorded")+((ISTEXT(J60)+ISTEXT(K60)+ISTEXT(P60))&gt;0)+IF(AND(ISNUMBER(J60),ISNUMBER(K60)),(K60&lt;J60)*1,0)+IF(ISNUMBER(K60),(K60&gt;Lists!$K$2)*1,0)+(COUNTIF($B$2:$B$79,B60)&gt;1)+IF(S60="Not Started",(N60&gt;0)*1,IF(S60="Not Recorded",0,(N60=0)*1))+IF(AND(S60&lt;&gt;"Not Started",S60&lt;&gt;"Not Recorded"),(K60="")*1,0)+(P60="")+(G60="")+IF(G60="",0,(LEFT(G60,1)&lt;&gt;"+")*1)</f>
        <v>2</v>
      </c>
      <c r="Z60" s="47" t="n">
        <f aca="false">IF(V60=1,W60+ROW()/100000,0)</f>
        <v>29.0006</v>
      </c>
      <c r="AA60" s="45" t="n">
        <f aca="false">IF(OR(S60="In Discussion",S60="Meeting Scheduled",S60="Partnership Active"),1,0)</f>
        <v>0</v>
      </c>
      <c r="AB60" s="45" t="n">
        <f aca="false">IF(AND(S60&lt;&gt;"Not Started",S60&lt;&gt;"Not Recorded"),1,0)</f>
        <v>1</v>
      </c>
    </row>
    <row r="61" customFormat="false" ht="15" hidden="false" customHeight="false" outlineLevel="0" collapsed="false">
      <c r="A61" s="38" t="s">
        <v>501</v>
      </c>
      <c r="B61" s="38" t="s">
        <v>502</v>
      </c>
      <c r="C61" s="38" t="s">
        <v>24</v>
      </c>
      <c r="D61" s="38" t="s">
        <v>503</v>
      </c>
      <c r="E61" s="38" t="s">
        <v>212</v>
      </c>
      <c r="F61" s="38" t="s">
        <v>504</v>
      </c>
      <c r="G61" s="38" t="s">
        <v>505</v>
      </c>
      <c r="H61" s="38" t="s">
        <v>241</v>
      </c>
      <c r="I61" s="38" t="s">
        <v>48</v>
      </c>
      <c r="J61" s="44" t="n">
        <v>46134</v>
      </c>
      <c r="K61" s="44" t="n">
        <v>46274</v>
      </c>
      <c r="L61" s="38" t="s">
        <v>15</v>
      </c>
      <c r="M61" s="38" t="s">
        <v>368</v>
      </c>
      <c r="N61" s="38" t="n">
        <v>2</v>
      </c>
      <c r="O61" s="38" t="s">
        <v>234</v>
      </c>
      <c r="P61" s="44" t="n">
        <v>46309</v>
      </c>
      <c r="Q61" s="38"/>
      <c r="R61" s="45" t="str">
        <f aca="false">IF(TRIM(C61)="","Not Recorded",IFERROR(INDEX(Lists!$B$2:$B$60,MATCH(TRIM(C61),Lists!$A$2:$A$60,0)),"Not Recorded"))</f>
        <v>Asia-Pacific</v>
      </c>
      <c r="S61" s="45" t="str">
        <f aca="false">IF(TRIM(L61)="","Not Recorded",IFERROR(INDEX(Lists!$E$2:$E$60,MATCH(TRIM(L61),Lists!$D$2:$D$60,0)),"Not Recorded"))</f>
        <v>Contacted</v>
      </c>
      <c r="T61" s="45" t="str">
        <f aca="false">IF(TRIM(M61)="","Not Recorded",IFERROR(INDEX(Lists!$H$2:$H$60,MATCH(TRIM(M61),Lists!$G$2:$G$60,0)),"Not Recorded"))</f>
        <v>Low</v>
      </c>
      <c r="U61" s="45" t="n">
        <f aca="false">IF(ISNUMBER(K61),Lists!$K$2-K61,"")</f>
        <v>27</v>
      </c>
      <c r="V61" s="46" t="n">
        <f aca="false">IF(AND(ISNUMBER(P61),P61&lt;Lists!$K$2,S61&lt;&gt;"On Hold"),1,0)</f>
        <v>0</v>
      </c>
      <c r="W61" s="45" t="n">
        <f aca="false">IF(V61=1,Lists!$K$2-P61,0)</f>
        <v>0</v>
      </c>
      <c r="X61" s="45" t="n">
        <f aca="false">IF(AND(ISNUMBER(K61),S61&lt;&gt;"On Hold"),IF(Lists!$K$2-K61&gt;Lists!$K$3,1,0),0)</f>
        <v>0</v>
      </c>
      <c r="Y61" s="46" t="n">
        <f aca="false">(F61="")+IF(F61="",0,ISERROR(FIND("@",F61))*1)+(D61="")+(I61="")+(R61="Not Recorded")+(S61="Not Recorded")+(T61="Not Recorded")+((ISTEXT(J61)+ISTEXT(K61)+ISTEXT(P61))&gt;0)+IF(AND(ISNUMBER(J61),ISNUMBER(K61)),(K61&lt;J61)*1,0)+IF(ISNUMBER(K61),(K61&gt;Lists!$K$2)*1,0)+(COUNTIF($B$2:$B$79,B61)&gt;1)+IF(S61="Not Started",(N61&gt;0)*1,IF(S61="Not Recorded",0,(N61=0)*1))+IF(AND(S61&lt;&gt;"Not Started",S61&lt;&gt;"Not Recorded"),(K61="")*1,0)+(P61="")+(G61="")+IF(G61="",0,(LEFT(G61,1)&lt;&gt;"+")*1)</f>
        <v>0</v>
      </c>
      <c r="Z61" s="47" t="n">
        <f aca="false">IF(V61=1,W61+ROW()/100000,0)</f>
        <v>0</v>
      </c>
      <c r="AA61" s="45" t="n">
        <f aca="false">IF(OR(S61="In Discussion",S61="Meeting Scheduled",S61="Partnership Active"),1,0)</f>
        <v>0</v>
      </c>
      <c r="AB61" s="45" t="n">
        <f aca="false">IF(AND(S61&lt;&gt;"Not Started",S61&lt;&gt;"Not Recorded"),1,0)</f>
        <v>1</v>
      </c>
    </row>
    <row r="62" customFormat="false" ht="15" hidden="false" customHeight="false" outlineLevel="0" collapsed="false">
      <c r="A62" s="38" t="s">
        <v>506</v>
      </c>
      <c r="B62" s="38" t="s">
        <v>507</v>
      </c>
      <c r="C62" s="38" t="s">
        <v>508</v>
      </c>
      <c r="D62" s="38" t="s">
        <v>509</v>
      </c>
      <c r="E62" s="38" t="s">
        <v>190</v>
      </c>
      <c r="F62" s="38"/>
      <c r="G62" s="38" t="s">
        <v>510</v>
      </c>
      <c r="H62" s="38" t="s">
        <v>107</v>
      </c>
      <c r="I62" s="38" t="s">
        <v>44</v>
      </c>
      <c r="J62" s="44" t="n">
        <v>46193</v>
      </c>
      <c r="K62" s="44" t="n">
        <v>46264</v>
      </c>
      <c r="L62" s="38" t="s">
        <v>37</v>
      </c>
      <c r="M62" s="38" t="s">
        <v>25</v>
      </c>
      <c r="N62" s="38" t="n">
        <v>3</v>
      </c>
      <c r="O62" s="38" t="s">
        <v>216</v>
      </c>
      <c r="P62" s="44" t="n">
        <v>46310</v>
      </c>
      <c r="Q62" s="38" t="s">
        <v>187</v>
      </c>
      <c r="R62" s="45" t="str">
        <f aca="false">IF(TRIM(C62)="","Not Recorded",IFERROR(INDEX(Lists!$B$2:$B$60,MATCH(TRIM(C62),Lists!$A$2:$A$60,0)),"Not Recorded"))</f>
        <v>Europe</v>
      </c>
      <c r="S62" s="45" t="str">
        <f aca="false">IF(TRIM(L62)="","Not Recorded",IFERROR(INDEX(Lists!$E$2:$E$60,MATCH(TRIM(L62),Lists!$D$2:$D$60,0)),"Not Recorded"))</f>
        <v>On Hold</v>
      </c>
      <c r="T62" s="45" t="str">
        <f aca="false">IF(TRIM(M62)="","Not Recorded",IFERROR(INDEX(Lists!$H$2:$H$60,MATCH(TRIM(M62),Lists!$G$2:$G$60,0)),"Not Recorded"))</f>
        <v>Medium</v>
      </c>
      <c r="U62" s="45" t="n">
        <f aca="false">IF(ISNUMBER(K62),Lists!$K$2-K62,"")</f>
        <v>37</v>
      </c>
      <c r="V62" s="46" t="n">
        <f aca="false">IF(AND(ISNUMBER(P62),P62&lt;Lists!$K$2,S62&lt;&gt;"On Hold"),1,0)</f>
        <v>0</v>
      </c>
      <c r="W62" s="45" t="n">
        <f aca="false">IF(V62=1,Lists!$K$2-P62,0)</f>
        <v>0</v>
      </c>
      <c r="X62" s="45" t="n">
        <f aca="false">IF(AND(ISNUMBER(K62),S62&lt;&gt;"On Hold"),IF(Lists!$K$2-K62&gt;Lists!$K$3,1,0),0)</f>
        <v>0</v>
      </c>
      <c r="Y62" s="46" t="n">
        <f aca="false">(F62="")+IF(F62="",0,ISERROR(FIND("@",F62))*1)+(D62="")+(I62="")+(R62="Not Recorded")+(S62="Not Recorded")+(T62="Not Recorded")+((ISTEXT(J62)+ISTEXT(K62)+ISTEXT(P62))&gt;0)+IF(AND(ISNUMBER(J62),ISNUMBER(K62)),(K62&lt;J62)*1,0)+IF(ISNUMBER(K62),(K62&gt;Lists!$K$2)*1,0)+(COUNTIF($B$2:$B$79,B62)&gt;1)+IF(S62="Not Started",(N62&gt;0)*1,IF(S62="Not Recorded",0,(N62=0)*1))+IF(AND(S62&lt;&gt;"Not Started",S62&lt;&gt;"Not Recorded"),(K62="")*1,0)+(P62="")+(G62="")+IF(G62="",0,(LEFT(G62,1)&lt;&gt;"+")*1)</f>
        <v>1</v>
      </c>
      <c r="Z62" s="47" t="n">
        <f aca="false">IF(V62=1,W62+ROW()/100000,0)</f>
        <v>0</v>
      </c>
      <c r="AA62" s="45" t="n">
        <f aca="false">IF(OR(S62="In Discussion",S62="Meeting Scheduled",S62="Partnership Active"),1,0)</f>
        <v>0</v>
      </c>
      <c r="AB62" s="45" t="n">
        <f aca="false">IF(AND(S62&lt;&gt;"Not Started",S62&lt;&gt;"Not Recorded"),1,0)</f>
        <v>1</v>
      </c>
    </row>
    <row r="63" customFormat="false" ht="15" hidden="false" customHeight="false" outlineLevel="0" collapsed="false">
      <c r="A63" s="38" t="s">
        <v>511</v>
      </c>
      <c r="B63" s="38" t="s">
        <v>512</v>
      </c>
      <c r="C63" s="38" t="s">
        <v>22</v>
      </c>
      <c r="D63" s="38" t="s">
        <v>513</v>
      </c>
      <c r="E63" s="38" t="s">
        <v>183</v>
      </c>
      <c r="F63" s="38" t="s">
        <v>514</v>
      </c>
      <c r="G63" s="38" t="s">
        <v>515</v>
      </c>
      <c r="H63" s="38" t="s">
        <v>241</v>
      </c>
      <c r="I63" s="38" t="s">
        <v>52</v>
      </c>
      <c r="J63" s="38"/>
      <c r="K63" s="38"/>
      <c r="L63" s="38" t="s">
        <v>21</v>
      </c>
      <c r="M63" s="38" t="s">
        <v>31</v>
      </c>
      <c r="N63" s="38" t="n">
        <v>0</v>
      </c>
      <c r="O63" s="38" t="s">
        <v>186</v>
      </c>
      <c r="P63" s="44" t="n">
        <v>46321</v>
      </c>
      <c r="Q63" s="38" t="s">
        <v>208</v>
      </c>
      <c r="R63" s="45" t="str">
        <f aca="false">IF(TRIM(C63)="","Not Recorded",IFERROR(INDEX(Lists!$B$2:$B$60,MATCH(TRIM(C63),Lists!$A$2:$A$60,0)),"Not Recorded"))</f>
        <v>Europe</v>
      </c>
      <c r="S63" s="45" t="str">
        <f aca="false">IF(TRIM(L63)="","Not Recorded",IFERROR(INDEX(Lists!$E$2:$E$60,MATCH(TRIM(L63),Lists!$D$2:$D$60,0)),"Not Recorded"))</f>
        <v>Not Started</v>
      </c>
      <c r="T63" s="45" t="str">
        <f aca="false">IF(TRIM(M63)="","Not Recorded",IFERROR(INDEX(Lists!$H$2:$H$60,MATCH(TRIM(M63),Lists!$G$2:$G$60,0)),"Not Recorded"))</f>
        <v>None</v>
      </c>
      <c r="U63" s="45" t="str">
        <f aca="false">IF(ISNUMBER(K63),Lists!$K$2-K63,"")</f>
        <v/>
      </c>
      <c r="V63" s="46" t="n">
        <f aca="false">IF(AND(ISNUMBER(P63),P63&lt;Lists!$K$2,S63&lt;&gt;"On Hold"),1,0)</f>
        <v>0</v>
      </c>
      <c r="W63" s="45" t="n">
        <f aca="false">IF(V63=1,Lists!$K$2-P63,0)</f>
        <v>0</v>
      </c>
      <c r="X63" s="45" t="n">
        <f aca="false">IF(AND(ISNUMBER(K63),S63&lt;&gt;"On Hold"),IF(Lists!$K$2-K63&gt;Lists!$K$3,1,0),0)</f>
        <v>0</v>
      </c>
      <c r="Y63" s="46" t="n">
        <f aca="false">(F63="")+IF(F63="",0,ISERROR(FIND("@",F63))*1)+(D63="")+(I63="")+(R63="Not Recorded")+(S63="Not Recorded")+(T63="Not Recorded")+((ISTEXT(J63)+ISTEXT(K63)+ISTEXT(P63))&gt;0)+IF(AND(ISNUMBER(J63),ISNUMBER(K63)),(K63&lt;J63)*1,0)+IF(ISNUMBER(K63),(K63&gt;Lists!$K$2)*1,0)+(COUNTIF($B$2:$B$79,B63)&gt;1)+IF(S63="Not Started",(N63&gt;0)*1,IF(S63="Not Recorded",0,(N63=0)*1))+IF(AND(S63&lt;&gt;"Not Started",S63&lt;&gt;"Not Recorded"),(K63="")*1,0)+(P63="")+(G63="")+IF(G63="",0,(LEFT(G63,1)&lt;&gt;"+")*1)</f>
        <v>0</v>
      </c>
      <c r="Z63" s="47" t="n">
        <f aca="false">IF(V63=1,W63+ROW()/100000,0)</f>
        <v>0</v>
      </c>
      <c r="AA63" s="45" t="n">
        <f aca="false">IF(OR(S63="In Discussion",S63="Meeting Scheduled",S63="Partnership Active"),1,0)</f>
        <v>0</v>
      </c>
      <c r="AB63" s="45" t="n">
        <f aca="false">IF(AND(S63&lt;&gt;"Not Started",S63&lt;&gt;"Not Recorded"),1,0)</f>
        <v>0</v>
      </c>
    </row>
    <row r="64" customFormat="false" ht="15" hidden="false" customHeight="false" outlineLevel="0" collapsed="false">
      <c r="A64" s="38" t="s">
        <v>516</v>
      </c>
      <c r="B64" s="38" t="s">
        <v>517</v>
      </c>
      <c r="C64" s="38" t="s">
        <v>24</v>
      </c>
      <c r="D64" s="38" t="s">
        <v>518</v>
      </c>
      <c r="E64" s="38" t="s">
        <v>252</v>
      </c>
      <c r="F64" s="38" t="s">
        <v>519</v>
      </c>
      <c r="G64" s="38" t="s">
        <v>520</v>
      </c>
      <c r="H64" s="38" t="s">
        <v>261</v>
      </c>
      <c r="I64" s="38" t="s">
        <v>52</v>
      </c>
      <c r="J64" s="44" t="n">
        <v>46172</v>
      </c>
      <c r="K64" s="44" t="n">
        <v>46258</v>
      </c>
      <c r="L64" s="38" t="s">
        <v>35</v>
      </c>
      <c r="M64" s="38" t="s">
        <v>31</v>
      </c>
      <c r="N64" s="38" t="n">
        <v>8</v>
      </c>
      <c r="O64" s="38" t="s">
        <v>242</v>
      </c>
      <c r="P64" s="44" t="n">
        <v>46274</v>
      </c>
      <c r="Q64" s="38" t="s">
        <v>279</v>
      </c>
      <c r="R64" s="45" t="str">
        <f aca="false">IF(TRIM(C64)="","Not Recorded",IFERROR(INDEX(Lists!$B$2:$B$60,MATCH(TRIM(C64),Lists!$A$2:$A$60,0)),"Not Recorded"))</f>
        <v>Asia-Pacific</v>
      </c>
      <c r="S64" s="45" t="str">
        <f aca="false">IF(TRIM(L64)="","Not Recorded",IFERROR(INDEX(Lists!$E$2:$E$60,MATCH(TRIM(L64),Lists!$D$2:$D$60,0)),"Not Recorded"))</f>
        <v>Partnership Active</v>
      </c>
      <c r="T64" s="45" t="str">
        <f aca="false">IF(TRIM(M64)="","Not Recorded",IFERROR(INDEX(Lists!$H$2:$H$60,MATCH(TRIM(M64),Lists!$G$2:$G$60,0)),"Not Recorded"))</f>
        <v>None</v>
      </c>
      <c r="U64" s="45" t="n">
        <f aca="false">IF(ISNUMBER(K64),Lists!$K$2-K64,"")</f>
        <v>43</v>
      </c>
      <c r="V64" s="46" t="n">
        <f aca="false">IF(AND(ISNUMBER(P64),P64&lt;Lists!$K$2,S64&lt;&gt;"On Hold"),1,0)</f>
        <v>1</v>
      </c>
      <c r="W64" s="45" t="n">
        <f aca="false">IF(V64=1,Lists!$K$2-P64,0)</f>
        <v>27</v>
      </c>
      <c r="X64" s="45" t="n">
        <f aca="false">IF(AND(ISNUMBER(K64),S64&lt;&gt;"On Hold"),IF(Lists!$K$2-K64&gt;Lists!$K$3,1,0),0)</f>
        <v>1</v>
      </c>
      <c r="Y64" s="46" t="n">
        <f aca="false">(F64="")+IF(F64="",0,ISERROR(FIND("@",F64))*1)+(D64="")+(I64="")+(R64="Not Recorded")+(S64="Not Recorded")+(T64="Not Recorded")+((ISTEXT(J64)+ISTEXT(K64)+ISTEXT(P64))&gt;0)+IF(AND(ISNUMBER(J64),ISNUMBER(K64)),(K64&lt;J64)*1,0)+IF(ISNUMBER(K64),(K64&gt;Lists!$K$2)*1,0)+(COUNTIF($B$2:$B$79,B64)&gt;1)+IF(S64="Not Started",(N64&gt;0)*1,IF(S64="Not Recorded",0,(N64=0)*1))+IF(AND(S64&lt;&gt;"Not Started",S64&lt;&gt;"Not Recorded"),(K64="")*1,0)+(P64="")+(G64="")+IF(G64="",0,(LEFT(G64,1)&lt;&gt;"+")*1)</f>
        <v>1</v>
      </c>
      <c r="Z64" s="47" t="n">
        <f aca="false">IF(V64=1,W64+ROW()/100000,0)</f>
        <v>27.00064</v>
      </c>
      <c r="AA64" s="45" t="n">
        <f aca="false">IF(OR(S64="In Discussion",S64="Meeting Scheduled",S64="Partnership Active"),1,0)</f>
        <v>1</v>
      </c>
      <c r="AB64" s="45" t="n">
        <f aca="false">IF(AND(S64&lt;&gt;"Not Started",S64&lt;&gt;"Not Recorded"),1,0)</f>
        <v>1</v>
      </c>
    </row>
    <row r="65" customFormat="false" ht="15" hidden="false" customHeight="false" outlineLevel="0" collapsed="false">
      <c r="A65" s="38" t="s">
        <v>521</v>
      </c>
      <c r="B65" s="38" t="s">
        <v>522</v>
      </c>
      <c r="C65" s="38" t="s">
        <v>30</v>
      </c>
      <c r="D65" s="38" t="s">
        <v>523</v>
      </c>
      <c r="E65" s="38" t="s">
        <v>258</v>
      </c>
      <c r="F65" s="38" t="s">
        <v>524</v>
      </c>
      <c r="G65" s="38" t="s">
        <v>525</v>
      </c>
      <c r="H65" s="38" t="s">
        <v>261</v>
      </c>
      <c r="I65" s="38" t="s">
        <v>50</v>
      </c>
      <c r="J65" s="44" t="n">
        <v>46148</v>
      </c>
      <c r="K65" s="44" t="n">
        <v>46274</v>
      </c>
      <c r="L65" s="38" t="s">
        <v>15</v>
      </c>
      <c r="M65" s="38"/>
      <c r="N65" s="38" t="n">
        <v>2</v>
      </c>
      <c r="O65" s="38" t="s">
        <v>234</v>
      </c>
      <c r="P65" s="44" t="n">
        <v>46301</v>
      </c>
      <c r="Q65" s="38" t="s">
        <v>279</v>
      </c>
      <c r="R65" s="45" t="str">
        <f aca="false">IF(TRIM(C65)="","Not Recorded",IFERROR(INDEX(Lists!$B$2:$B$60,MATCH(TRIM(C65),Lists!$A$2:$A$60,0)),"Not Recorded"))</f>
        <v>Africa</v>
      </c>
      <c r="S65" s="45" t="str">
        <f aca="false">IF(TRIM(L65)="","Not Recorded",IFERROR(INDEX(Lists!$E$2:$E$60,MATCH(TRIM(L65),Lists!$D$2:$D$60,0)),"Not Recorded"))</f>
        <v>Contacted</v>
      </c>
      <c r="T65" s="45" t="str">
        <f aca="false">IF(TRIM(M65)="","Not Recorded",IFERROR(INDEX(Lists!$H$2:$H$60,MATCH(TRIM(M65),Lists!$G$2:$G$60,0)),"Not Recorded"))</f>
        <v>Not Recorded</v>
      </c>
      <c r="U65" s="45" t="n">
        <f aca="false">IF(ISNUMBER(K65),Lists!$K$2-K65,"")</f>
        <v>27</v>
      </c>
      <c r="V65" s="46" t="n">
        <f aca="false">IF(AND(ISNUMBER(P65),P65&lt;Lists!$K$2,S65&lt;&gt;"On Hold"),1,0)</f>
        <v>0</v>
      </c>
      <c r="W65" s="45" t="n">
        <f aca="false">IF(V65=1,Lists!$K$2-P65,0)</f>
        <v>0</v>
      </c>
      <c r="X65" s="45" t="n">
        <f aca="false">IF(AND(ISNUMBER(K65),S65&lt;&gt;"On Hold"),IF(Lists!$K$2-K65&gt;Lists!$K$3,1,0),0)</f>
        <v>0</v>
      </c>
      <c r="Y65" s="46" t="n">
        <f aca="false">(F65="")+IF(F65="",0,ISERROR(FIND("@",F65))*1)+(D65="")+(I65="")+(R65="Not Recorded")+(S65="Not Recorded")+(T65="Not Recorded")+((ISTEXT(J65)+ISTEXT(K65)+ISTEXT(P65))&gt;0)+IF(AND(ISNUMBER(J65),ISNUMBER(K65)),(K65&lt;J65)*1,0)+IF(ISNUMBER(K65),(K65&gt;Lists!$K$2)*1,0)+(COUNTIF($B$2:$B$79,B65)&gt;1)+IF(S65="Not Started",(N65&gt;0)*1,IF(S65="Not Recorded",0,(N65=0)*1))+IF(AND(S65&lt;&gt;"Not Started",S65&lt;&gt;"Not Recorded"),(K65="")*1,0)+(P65="")+(G65="")+IF(G65="",0,(LEFT(G65,1)&lt;&gt;"+")*1)</f>
        <v>1</v>
      </c>
      <c r="Z65" s="47" t="n">
        <f aca="false">IF(V65=1,W65+ROW()/100000,0)</f>
        <v>0</v>
      </c>
      <c r="AA65" s="45" t="n">
        <f aca="false">IF(OR(S65="In Discussion",S65="Meeting Scheduled",S65="Partnership Active"),1,0)</f>
        <v>0</v>
      </c>
      <c r="AB65" s="45" t="n">
        <f aca="false">IF(AND(S65&lt;&gt;"Not Started",S65&lt;&gt;"Not Recorded"),1,0)</f>
        <v>1</v>
      </c>
    </row>
    <row r="66" customFormat="false" ht="15" hidden="false" customHeight="false" outlineLevel="0" collapsed="false">
      <c r="A66" s="38" t="s">
        <v>526</v>
      </c>
      <c r="B66" s="38" t="s">
        <v>527</v>
      </c>
      <c r="C66" s="38" t="s">
        <v>22</v>
      </c>
      <c r="D66" s="38" t="s">
        <v>528</v>
      </c>
      <c r="E66" s="38" t="s">
        <v>252</v>
      </c>
      <c r="F66" s="38" t="s">
        <v>529</v>
      </c>
      <c r="G66" s="38" t="s">
        <v>530</v>
      </c>
      <c r="H66" s="38" t="s">
        <v>107</v>
      </c>
      <c r="I66" s="38"/>
      <c r="J66" s="44" t="n">
        <v>46144</v>
      </c>
      <c r="K66" s="38"/>
      <c r="L66" s="38" t="s">
        <v>29</v>
      </c>
      <c r="M66" s="38" t="s">
        <v>25</v>
      </c>
      <c r="N66" s="38" t="n">
        <v>3</v>
      </c>
      <c r="O66" s="38" t="s">
        <v>207</v>
      </c>
      <c r="P66" s="44" t="n">
        <v>46274</v>
      </c>
      <c r="Q66" s="38" t="s">
        <v>279</v>
      </c>
      <c r="R66" s="45" t="str">
        <f aca="false">IF(TRIM(C66)="","Not Recorded",IFERROR(INDEX(Lists!$B$2:$B$60,MATCH(TRIM(C66),Lists!$A$2:$A$60,0)),"Not Recorded"))</f>
        <v>Europe</v>
      </c>
      <c r="S66" s="45" t="str">
        <f aca="false">IF(TRIM(L66)="","Not Recorded",IFERROR(INDEX(Lists!$E$2:$E$60,MATCH(TRIM(L66),Lists!$D$2:$D$60,0)),"Not Recorded"))</f>
        <v>In Discussion</v>
      </c>
      <c r="T66" s="45" t="str">
        <f aca="false">IF(TRIM(M66)="","Not Recorded",IFERROR(INDEX(Lists!$H$2:$H$60,MATCH(TRIM(M66),Lists!$G$2:$G$60,0)),"Not Recorded"))</f>
        <v>Medium</v>
      </c>
      <c r="U66" s="45" t="str">
        <f aca="false">IF(ISNUMBER(K66),Lists!$K$2-K66,"")</f>
        <v/>
      </c>
      <c r="V66" s="46" t="n">
        <f aca="false">IF(AND(ISNUMBER(P66),P66&lt;Lists!$K$2,S66&lt;&gt;"On Hold"),1,0)</f>
        <v>1</v>
      </c>
      <c r="W66" s="45" t="n">
        <f aca="false">IF(V66=1,Lists!$K$2-P66,0)</f>
        <v>27</v>
      </c>
      <c r="X66" s="45" t="n">
        <f aca="false">IF(AND(ISNUMBER(K66),S66&lt;&gt;"On Hold"),IF(Lists!$K$2-K66&gt;Lists!$K$3,1,0),0)</f>
        <v>0</v>
      </c>
      <c r="Y66" s="46" t="n">
        <f aca="false">(F66="")+IF(F66="",0,ISERROR(FIND("@",F66))*1)+(D66="")+(I66="")+(R66="Not Recorded")+(S66="Not Recorded")+(T66="Not Recorded")+((ISTEXT(J66)+ISTEXT(K66)+ISTEXT(P66))&gt;0)+IF(AND(ISNUMBER(J66),ISNUMBER(K66)),(K66&lt;J66)*1,0)+IF(ISNUMBER(K66),(K66&gt;Lists!$K$2)*1,0)+(COUNTIF($B$2:$B$79,B66)&gt;1)+IF(S66="Not Started",(N66&gt;0)*1,IF(S66="Not Recorded",0,(N66=0)*1))+IF(AND(S66&lt;&gt;"Not Started",S66&lt;&gt;"Not Recorded"),(K66="")*1,0)+(P66="")+(G66="")+IF(G66="",0,(LEFT(G66,1)&lt;&gt;"+")*1)</f>
        <v>2</v>
      </c>
      <c r="Z66" s="47" t="n">
        <f aca="false">IF(V66=1,W66+ROW()/100000,0)</f>
        <v>27.00066</v>
      </c>
      <c r="AA66" s="45" t="n">
        <f aca="false">IF(OR(S66="In Discussion",S66="Meeting Scheduled",S66="Partnership Active"),1,0)</f>
        <v>1</v>
      </c>
      <c r="AB66" s="45" t="n">
        <f aca="false">IF(AND(S66&lt;&gt;"Not Started",S66&lt;&gt;"Not Recorded"),1,0)</f>
        <v>1</v>
      </c>
    </row>
    <row r="67" customFormat="false" ht="15" hidden="false" customHeight="false" outlineLevel="0" collapsed="false">
      <c r="A67" s="38" t="s">
        <v>531</v>
      </c>
      <c r="B67" s="38" t="s">
        <v>532</v>
      </c>
      <c r="C67" s="38" t="s">
        <v>30</v>
      </c>
      <c r="D67" s="38" t="s">
        <v>533</v>
      </c>
      <c r="E67" s="38" t="s">
        <v>238</v>
      </c>
      <c r="F67" s="38" t="s">
        <v>534</v>
      </c>
      <c r="G67" s="38" t="s">
        <v>535</v>
      </c>
      <c r="H67" s="38" t="s">
        <v>114</v>
      </c>
      <c r="I67" s="38" t="s">
        <v>46</v>
      </c>
      <c r="J67" s="44" t="n">
        <v>46217</v>
      </c>
      <c r="K67" s="44" t="n">
        <v>46282</v>
      </c>
      <c r="L67" s="38" t="s">
        <v>32</v>
      </c>
      <c r="M67" s="38" t="s">
        <v>23</v>
      </c>
      <c r="N67" s="38" t="n">
        <v>4</v>
      </c>
      <c r="O67" s="38" t="s">
        <v>262</v>
      </c>
      <c r="P67" s="44" t="n">
        <v>46321</v>
      </c>
      <c r="Q67" s="38" t="s">
        <v>226</v>
      </c>
      <c r="R67" s="45" t="str">
        <f aca="false">IF(TRIM(C67)="","Not Recorded",IFERROR(INDEX(Lists!$B$2:$B$60,MATCH(TRIM(C67),Lists!$A$2:$A$60,0)),"Not Recorded"))</f>
        <v>Africa</v>
      </c>
      <c r="S67" s="45" t="str">
        <f aca="false">IF(TRIM(L67)="","Not Recorded",IFERROR(INDEX(Lists!$E$2:$E$60,MATCH(TRIM(L67),Lists!$D$2:$D$60,0)),"Not Recorded"))</f>
        <v>Meeting Scheduled</v>
      </c>
      <c r="T67" s="45" t="str">
        <f aca="false">IF(TRIM(M67)="","Not Recorded",IFERROR(INDEX(Lists!$H$2:$H$60,MATCH(TRIM(M67),Lists!$G$2:$G$60,0)),"Not Recorded"))</f>
        <v>High</v>
      </c>
      <c r="U67" s="45" t="n">
        <f aca="false">IF(ISNUMBER(K67),Lists!$K$2-K67,"")</f>
        <v>19</v>
      </c>
      <c r="V67" s="46" t="n">
        <f aca="false">IF(AND(ISNUMBER(P67),P67&lt;Lists!$K$2,S67&lt;&gt;"On Hold"),1,0)</f>
        <v>0</v>
      </c>
      <c r="W67" s="45" t="n">
        <f aca="false">IF(V67=1,Lists!$K$2-P67,0)</f>
        <v>0</v>
      </c>
      <c r="X67" s="45" t="n">
        <f aca="false">IF(AND(ISNUMBER(K67),S67&lt;&gt;"On Hold"),IF(Lists!$K$2-K67&gt;Lists!$K$3,1,0),0)</f>
        <v>0</v>
      </c>
      <c r="Y67" s="46" t="n">
        <f aca="false">(F67="")+IF(F67="",0,ISERROR(FIND("@",F67))*1)+(D67="")+(I67="")+(R67="Not Recorded")+(S67="Not Recorded")+(T67="Not Recorded")+((ISTEXT(J67)+ISTEXT(K67)+ISTEXT(P67))&gt;0)+IF(AND(ISNUMBER(J67),ISNUMBER(K67)),(K67&lt;J67)*1,0)+IF(ISNUMBER(K67),(K67&gt;Lists!$K$2)*1,0)+(COUNTIF($B$2:$B$79,B67)&gt;1)+IF(S67="Not Started",(N67&gt;0)*1,IF(S67="Not Recorded",0,(N67=0)*1))+IF(AND(S67&lt;&gt;"Not Started",S67&lt;&gt;"Not Recorded"),(K67="")*1,0)+(P67="")+(G67="")+IF(G67="",0,(LEFT(G67,1)&lt;&gt;"+")*1)</f>
        <v>0</v>
      </c>
      <c r="Z67" s="47" t="n">
        <f aca="false">IF(V67=1,W67+ROW()/100000,0)</f>
        <v>0</v>
      </c>
      <c r="AA67" s="45" t="n">
        <f aca="false">IF(OR(S67="In Discussion",S67="Meeting Scheduled",S67="Partnership Active"),1,0)</f>
        <v>1</v>
      </c>
      <c r="AB67" s="45" t="n">
        <f aca="false">IF(AND(S67&lt;&gt;"Not Started",S67&lt;&gt;"Not Recorded"),1,0)</f>
        <v>1</v>
      </c>
    </row>
    <row r="68" customFormat="false" ht="15" hidden="false" customHeight="false" outlineLevel="0" collapsed="false">
      <c r="A68" s="38" t="s">
        <v>536</v>
      </c>
      <c r="B68" s="38" t="s">
        <v>537</v>
      </c>
      <c r="C68" s="38" t="s">
        <v>22</v>
      </c>
      <c r="D68" s="38" t="s">
        <v>538</v>
      </c>
      <c r="E68" s="38" t="s">
        <v>238</v>
      </c>
      <c r="F68" s="38" t="s">
        <v>539</v>
      </c>
      <c r="G68" s="38" t="s">
        <v>540</v>
      </c>
      <c r="H68" s="38" t="s">
        <v>261</v>
      </c>
      <c r="I68" s="38" t="s">
        <v>50</v>
      </c>
      <c r="J68" s="44" t="n">
        <v>46164</v>
      </c>
      <c r="K68" s="44" t="n">
        <v>46204</v>
      </c>
      <c r="L68" s="38" t="s">
        <v>26</v>
      </c>
      <c r="M68" s="38"/>
      <c r="N68" s="38" t="n">
        <v>3</v>
      </c>
      <c r="O68" s="38" t="s">
        <v>194</v>
      </c>
      <c r="P68" s="44" t="n">
        <v>46229</v>
      </c>
      <c r="Q68" s="38" t="s">
        <v>329</v>
      </c>
      <c r="R68" s="45" t="str">
        <f aca="false">IF(TRIM(C68)="","Not Recorded",IFERROR(INDEX(Lists!$B$2:$B$60,MATCH(TRIM(C68),Lists!$A$2:$A$60,0)),"Not Recorded"))</f>
        <v>Europe</v>
      </c>
      <c r="S68" s="45" t="str">
        <f aca="false">IF(TRIM(L68)="","Not Recorded",IFERROR(INDEX(Lists!$E$2:$E$60,MATCH(TRIM(L68),Lists!$D$2:$D$60,0)),"Not Recorded"))</f>
        <v>No Response</v>
      </c>
      <c r="T68" s="45" t="str">
        <f aca="false">IF(TRIM(M68)="","Not Recorded",IFERROR(INDEX(Lists!$H$2:$H$60,MATCH(TRIM(M68),Lists!$G$2:$G$60,0)),"Not Recorded"))</f>
        <v>Not Recorded</v>
      </c>
      <c r="U68" s="45" t="n">
        <f aca="false">IF(ISNUMBER(K68),Lists!$K$2-K68,"")</f>
        <v>97</v>
      </c>
      <c r="V68" s="46" t="n">
        <f aca="false">IF(AND(ISNUMBER(P68),P68&lt;Lists!$K$2,S68&lt;&gt;"On Hold"),1,0)</f>
        <v>1</v>
      </c>
      <c r="W68" s="45" t="n">
        <f aca="false">IF(V68=1,Lists!$K$2-P68,0)</f>
        <v>72</v>
      </c>
      <c r="X68" s="45" t="n">
        <f aca="false">IF(AND(ISNUMBER(K68),S68&lt;&gt;"On Hold"),IF(Lists!$K$2-K68&gt;Lists!$K$3,1,0),0)</f>
        <v>1</v>
      </c>
      <c r="Y68" s="46" t="n">
        <f aca="false">(F68="")+IF(F68="",0,ISERROR(FIND("@",F68))*1)+(D68="")+(I68="")+(R68="Not Recorded")+(S68="Not Recorded")+(T68="Not Recorded")+((ISTEXT(J68)+ISTEXT(K68)+ISTEXT(P68))&gt;0)+IF(AND(ISNUMBER(J68),ISNUMBER(K68)),(K68&lt;J68)*1,0)+IF(ISNUMBER(K68),(K68&gt;Lists!$K$2)*1,0)+(COUNTIF($B$2:$B$79,B68)&gt;1)+IF(S68="Not Started",(N68&gt;0)*1,IF(S68="Not Recorded",0,(N68=0)*1))+IF(AND(S68&lt;&gt;"Not Started",S68&lt;&gt;"Not Recorded"),(K68="")*1,0)+(P68="")+(G68="")+IF(G68="",0,(LEFT(G68,1)&lt;&gt;"+")*1)</f>
        <v>1</v>
      </c>
      <c r="Z68" s="47" t="n">
        <f aca="false">IF(V68=1,W68+ROW()/100000,0)</f>
        <v>72.00068</v>
      </c>
      <c r="AA68" s="45" t="n">
        <f aca="false">IF(OR(S68="In Discussion",S68="Meeting Scheduled",S68="Partnership Active"),1,0)</f>
        <v>0</v>
      </c>
      <c r="AB68" s="45" t="n">
        <f aca="false">IF(AND(S68&lt;&gt;"Not Started",S68&lt;&gt;"Not Recorded"),1,0)</f>
        <v>1</v>
      </c>
    </row>
    <row r="69" customFormat="false" ht="15" hidden="false" customHeight="false" outlineLevel="0" collapsed="false">
      <c r="A69" s="38" t="s">
        <v>541</v>
      </c>
      <c r="B69" s="38" t="s">
        <v>542</v>
      </c>
      <c r="C69" s="38" t="s">
        <v>27</v>
      </c>
      <c r="D69" s="38"/>
      <c r="E69" s="38" t="s">
        <v>198</v>
      </c>
      <c r="F69" s="38" t="s">
        <v>543</v>
      </c>
      <c r="G69" s="38" t="s">
        <v>544</v>
      </c>
      <c r="H69" s="38" t="s">
        <v>107</v>
      </c>
      <c r="I69" s="38" t="s">
        <v>50</v>
      </c>
      <c r="J69" s="44" t="n">
        <v>46067</v>
      </c>
      <c r="K69" s="44" t="n">
        <v>46195</v>
      </c>
      <c r="L69" s="38" t="s">
        <v>26</v>
      </c>
      <c r="M69" s="38" t="s">
        <v>31</v>
      </c>
      <c r="N69" s="38" t="n">
        <v>3</v>
      </c>
      <c r="O69" s="38" t="s">
        <v>194</v>
      </c>
      <c r="P69" s="44" t="n">
        <v>46208</v>
      </c>
      <c r="Q69" s="38"/>
      <c r="R69" s="45" t="str">
        <f aca="false">IF(TRIM(C69)="","Not Recorded",IFERROR(INDEX(Lists!$B$2:$B$60,MATCH(TRIM(C69),Lists!$A$2:$A$60,0)),"Not Recorded"))</f>
        <v>Middle East</v>
      </c>
      <c r="S69" s="45" t="str">
        <f aca="false">IF(TRIM(L69)="","Not Recorded",IFERROR(INDEX(Lists!$E$2:$E$60,MATCH(TRIM(L69),Lists!$D$2:$D$60,0)),"Not Recorded"))</f>
        <v>No Response</v>
      </c>
      <c r="T69" s="45" t="str">
        <f aca="false">IF(TRIM(M69)="","Not Recorded",IFERROR(INDEX(Lists!$H$2:$H$60,MATCH(TRIM(M69),Lists!$G$2:$G$60,0)),"Not Recorded"))</f>
        <v>None</v>
      </c>
      <c r="U69" s="45" t="n">
        <f aca="false">IF(ISNUMBER(K69),Lists!$K$2-K69,"")</f>
        <v>106</v>
      </c>
      <c r="V69" s="46" t="n">
        <f aca="false">IF(AND(ISNUMBER(P69),P69&lt;Lists!$K$2,S69&lt;&gt;"On Hold"),1,0)</f>
        <v>1</v>
      </c>
      <c r="W69" s="45" t="n">
        <f aca="false">IF(V69=1,Lists!$K$2-P69,0)</f>
        <v>93</v>
      </c>
      <c r="X69" s="45" t="n">
        <f aca="false">IF(AND(ISNUMBER(K69),S69&lt;&gt;"On Hold"),IF(Lists!$K$2-K69&gt;Lists!$K$3,1,0),0)</f>
        <v>1</v>
      </c>
      <c r="Y69" s="46" t="n">
        <f aca="false">(F69="")+IF(F69="",0,ISERROR(FIND("@",F69))*1)+(D69="")+(I69="")+(R69="Not Recorded")+(S69="Not Recorded")+(T69="Not Recorded")+((ISTEXT(J69)+ISTEXT(K69)+ISTEXT(P69))&gt;0)+IF(AND(ISNUMBER(J69),ISNUMBER(K69)),(K69&lt;J69)*1,0)+IF(ISNUMBER(K69),(K69&gt;Lists!$K$2)*1,0)+(COUNTIF($B$2:$B$79,B69)&gt;1)+IF(S69="Not Started",(N69&gt;0)*1,IF(S69="Not Recorded",0,(N69=0)*1))+IF(AND(S69&lt;&gt;"Not Started",S69&lt;&gt;"Not Recorded"),(K69="")*1,0)+(P69="")+(G69="")+IF(G69="",0,(LEFT(G69,1)&lt;&gt;"+")*1)</f>
        <v>2</v>
      </c>
      <c r="Z69" s="47" t="n">
        <f aca="false">IF(V69=1,W69+ROW()/100000,0)</f>
        <v>93.00069</v>
      </c>
      <c r="AA69" s="45" t="n">
        <f aca="false">IF(OR(S69="In Discussion",S69="Meeting Scheduled",S69="Partnership Active"),1,0)</f>
        <v>0</v>
      </c>
      <c r="AB69" s="45" t="n">
        <f aca="false">IF(AND(S69&lt;&gt;"Not Started",S69&lt;&gt;"Not Recorded"),1,0)</f>
        <v>1</v>
      </c>
    </row>
    <row r="70" customFormat="false" ht="15" hidden="false" customHeight="false" outlineLevel="0" collapsed="false">
      <c r="A70" s="38" t="s">
        <v>545</v>
      </c>
      <c r="B70" s="38" t="s">
        <v>546</v>
      </c>
      <c r="C70" s="38" t="s">
        <v>24</v>
      </c>
      <c r="D70" s="38" t="s">
        <v>547</v>
      </c>
      <c r="E70" s="38" t="s">
        <v>183</v>
      </c>
      <c r="F70" s="38" t="s">
        <v>548</v>
      </c>
      <c r="G70" s="38" t="s">
        <v>549</v>
      </c>
      <c r="H70" s="38" t="s">
        <v>241</v>
      </c>
      <c r="I70" s="38" t="s">
        <v>44</v>
      </c>
      <c r="J70" s="44" t="n">
        <v>46147</v>
      </c>
      <c r="K70" s="44" t="n">
        <v>46274</v>
      </c>
      <c r="L70" s="38" t="s">
        <v>32</v>
      </c>
      <c r="M70" s="38" t="s">
        <v>23</v>
      </c>
      <c r="N70" s="38" t="n">
        <v>5</v>
      </c>
      <c r="O70" s="38" t="s">
        <v>262</v>
      </c>
      <c r="P70" s="44" t="n">
        <v>46306</v>
      </c>
      <c r="Q70" s="38"/>
      <c r="R70" s="45" t="str">
        <f aca="false">IF(TRIM(C70)="","Not Recorded",IFERROR(INDEX(Lists!$B$2:$B$60,MATCH(TRIM(C70),Lists!$A$2:$A$60,0)),"Not Recorded"))</f>
        <v>Asia-Pacific</v>
      </c>
      <c r="S70" s="45" t="str">
        <f aca="false">IF(TRIM(L70)="","Not Recorded",IFERROR(INDEX(Lists!$E$2:$E$60,MATCH(TRIM(L70),Lists!$D$2:$D$60,0)),"Not Recorded"))</f>
        <v>Meeting Scheduled</v>
      </c>
      <c r="T70" s="45" t="str">
        <f aca="false">IF(TRIM(M70)="","Not Recorded",IFERROR(INDEX(Lists!$H$2:$H$60,MATCH(TRIM(M70),Lists!$G$2:$G$60,0)),"Not Recorded"))</f>
        <v>High</v>
      </c>
      <c r="U70" s="45" t="n">
        <f aca="false">IF(ISNUMBER(K70),Lists!$K$2-K70,"")</f>
        <v>27</v>
      </c>
      <c r="V70" s="46" t="n">
        <f aca="false">IF(AND(ISNUMBER(P70),P70&lt;Lists!$K$2,S70&lt;&gt;"On Hold"),1,0)</f>
        <v>0</v>
      </c>
      <c r="W70" s="45" t="n">
        <f aca="false">IF(V70=1,Lists!$K$2-P70,0)</f>
        <v>0</v>
      </c>
      <c r="X70" s="45" t="n">
        <f aca="false">IF(AND(ISNUMBER(K70),S70&lt;&gt;"On Hold"),IF(Lists!$K$2-K70&gt;Lists!$K$3,1,0),0)</f>
        <v>0</v>
      </c>
      <c r="Y70" s="46" t="n">
        <f aca="false">(F70="")+IF(F70="",0,ISERROR(FIND("@",F70))*1)+(D70="")+(I70="")+(R70="Not Recorded")+(S70="Not Recorded")+(T70="Not Recorded")+((ISTEXT(J70)+ISTEXT(K70)+ISTEXT(P70))&gt;0)+IF(AND(ISNUMBER(J70),ISNUMBER(K70)),(K70&lt;J70)*1,0)+IF(ISNUMBER(K70),(K70&gt;Lists!$K$2)*1,0)+(COUNTIF($B$2:$B$79,B70)&gt;1)+IF(S70="Not Started",(N70&gt;0)*1,IF(S70="Not Recorded",0,(N70=0)*1))+IF(AND(S70&lt;&gt;"Not Started",S70&lt;&gt;"Not Recorded"),(K70="")*1,0)+(P70="")+(G70="")+IF(G70="",0,(LEFT(G70,1)&lt;&gt;"+")*1)</f>
        <v>0</v>
      </c>
      <c r="Z70" s="47" t="n">
        <f aca="false">IF(V70=1,W70+ROW()/100000,0)</f>
        <v>0</v>
      </c>
      <c r="AA70" s="45" t="n">
        <f aca="false">IF(OR(S70="In Discussion",S70="Meeting Scheduled",S70="Partnership Active"),1,0)</f>
        <v>1</v>
      </c>
      <c r="AB70" s="45" t="n">
        <f aca="false">IF(AND(S70&lt;&gt;"Not Started",S70&lt;&gt;"Not Recorded"),1,0)</f>
        <v>1</v>
      </c>
    </row>
    <row r="71" customFormat="false" ht="15" hidden="false" customHeight="false" outlineLevel="0" collapsed="false">
      <c r="A71" s="38" t="s">
        <v>550</v>
      </c>
      <c r="B71" s="38" t="s">
        <v>551</v>
      </c>
      <c r="C71" s="38" t="s">
        <v>27</v>
      </c>
      <c r="D71" s="38" t="s">
        <v>552</v>
      </c>
      <c r="E71" s="38" t="s">
        <v>212</v>
      </c>
      <c r="F71" s="38" t="s">
        <v>553</v>
      </c>
      <c r="G71" s="38" t="s">
        <v>554</v>
      </c>
      <c r="H71" s="38" t="s">
        <v>241</v>
      </c>
      <c r="I71" s="38" t="s">
        <v>52</v>
      </c>
      <c r="J71" s="44" t="n">
        <v>46197</v>
      </c>
      <c r="K71" s="44" t="n">
        <v>46256</v>
      </c>
      <c r="L71" s="38" t="s">
        <v>15</v>
      </c>
      <c r="M71" s="38" t="s">
        <v>193</v>
      </c>
      <c r="N71" s="38" t="n">
        <v>2</v>
      </c>
      <c r="O71" s="38" t="s">
        <v>234</v>
      </c>
      <c r="P71" s="44" t="n">
        <v>46290</v>
      </c>
      <c r="Q71" s="38" t="s">
        <v>329</v>
      </c>
      <c r="R71" s="45" t="str">
        <f aca="false">IF(TRIM(C71)="","Not Recorded",IFERROR(INDEX(Lists!$B$2:$B$60,MATCH(TRIM(C71),Lists!$A$2:$A$60,0)),"Not Recorded"))</f>
        <v>Middle East</v>
      </c>
      <c r="S71" s="45" t="str">
        <f aca="false">IF(TRIM(L71)="","Not Recorded",IFERROR(INDEX(Lists!$E$2:$E$60,MATCH(TRIM(L71),Lists!$D$2:$D$60,0)),"Not Recorded"))</f>
        <v>Contacted</v>
      </c>
      <c r="T71" s="45" t="str">
        <f aca="false">IF(TRIM(M71)="","Not Recorded",IFERROR(INDEX(Lists!$H$2:$H$60,MATCH(TRIM(M71),Lists!$G$2:$G$60,0)),"Not Recorded"))</f>
        <v>Low</v>
      </c>
      <c r="U71" s="45" t="n">
        <f aca="false">IF(ISNUMBER(K71),Lists!$K$2-K71,"")</f>
        <v>45</v>
      </c>
      <c r="V71" s="46" t="n">
        <f aca="false">IF(AND(ISNUMBER(P71),P71&lt;Lists!$K$2,S71&lt;&gt;"On Hold"),1,0)</f>
        <v>1</v>
      </c>
      <c r="W71" s="45" t="n">
        <f aca="false">IF(V71=1,Lists!$K$2-P71,0)</f>
        <v>11</v>
      </c>
      <c r="X71" s="45" t="n">
        <f aca="false">IF(AND(ISNUMBER(K71),S71&lt;&gt;"On Hold"),IF(Lists!$K$2-K71&gt;Lists!$K$3,1,0),0)</f>
        <v>1</v>
      </c>
      <c r="Y71" s="46" t="n">
        <f aca="false">(F71="")+IF(F71="",0,ISERROR(FIND("@",F71))*1)+(D71="")+(I71="")+(R71="Not Recorded")+(S71="Not Recorded")+(T71="Not Recorded")+((ISTEXT(J71)+ISTEXT(K71)+ISTEXT(P71))&gt;0)+IF(AND(ISNUMBER(J71),ISNUMBER(K71)),(K71&lt;J71)*1,0)+IF(ISNUMBER(K71),(K71&gt;Lists!$K$2)*1,0)+(COUNTIF($B$2:$B$79,B71)&gt;1)+IF(S71="Not Started",(N71&gt;0)*1,IF(S71="Not Recorded",0,(N71=0)*1))+IF(AND(S71&lt;&gt;"Not Started",S71&lt;&gt;"Not Recorded"),(K71="")*1,0)+(P71="")+(G71="")+IF(G71="",0,(LEFT(G71,1)&lt;&gt;"+")*1)</f>
        <v>1</v>
      </c>
      <c r="Z71" s="47" t="n">
        <f aca="false">IF(V71=1,W71+ROW()/100000,0)</f>
        <v>11.00071</v>
      </c>
      <c r="AA71" s="45" t="n">
        <f aca="false">IF(OR(S71="In Discussion",S71="Meeting Scheduled",S71="Partnership Active"),1,0)</f>
        <v>0</v>
      </c>
      <c r="AB71" s="45" t="n">
        <f aca="false">IF(AND(S71&lt;&gt;"Not Started",S71&lt;&gt;"Not Recorded"),1,0)</f>
        <v>1</v>
      </c>
    </row>
    <row r="72" customFormat="false" ht="15" hidden="false" customHeight="false" outlineLevel="0" collapsed="false">
      <c r="A72" s="38" t="s">
        <v>555</v>
      </c>
      <c r="B72" s="38" t="s">
        <v>556</v>
      </c>
      <c r="C72" s="38" t="s">
        <v>22</v>
      </c>
      <c r="D72" s="38" t="s">
        <v>557</v>
      </c>
      <c r="E72" s="38" t="s">
        <v>238</v>
      </c>
      <c r="F72" s="38" t="s">
        <v>558</v>
      </c>
      <c r="G72" s="38" t="s">
        <v>559</v>
      </c>
      <c r="H72" s="38" t="s">
        <v>215</v>
      </c>
      <c r="I72" s="38" t="s">
        <v>52</v>
      </c>
      <c r="J72" s="44" t="n">
        <v>46225</v>
      </c>
      <c r="K72" s="38"/>
      <c r="L72" s="38" t="s">
        <v>32</v>
      </c>
      <c r="M72" s="38" t="s">
        <v>25</v>
      </c>
      <c r="N72" s="38" t="n">
        <v>6</v>
      </c>
      <c r="O72" s="38" t="s">
        <v>262</v>
      </c>
      <c r="P72" s="44" t="n">
        <v>46320</v>
      </c>
      <c r="Q72" s="38"/>
      <c r="R72" s="45" t="str">
        <f aca="false">IF(TRIM(C72)="","Not Recorded",IFERROR(INDEX(Lists!$B$2:$B$60,MATCH(TRIM(C72),Lists!$A$2:$A$60,0)),"Not Recorded"))</f>
        <v>Europe</v>
      </c>
      <c r="S72" s="45" t="str">
        <f aca="false">IF(TRIM(L72)="","Not Recorded",IFERROR(INDEX(Lists!$E$2:$E$60,MATCH(TRIM(L72),Lists!$D$2:$D$60,0)),"Not Recorded"))</f>
        <v>Meeting Scheduled</v>
      </c>
      <c r="T72" s="45" t="str">
        <f aca="false">IF(TRIM(M72)="","Not Recorded",IFERROR(INDEX(Lists!$H$2:$H$60,MATCH(TRIM(M72),Lists!$G$2:$G$60,0)),"Not Recorded"))</f>
        <v>Medium</v>
      </c>
      <c r="U72" s="45" t="str">
        <f aca="false">IF(ISNUMBER(K72),Lists!$K$2-K72,"")</f>
        <v/>
      </c>
      <c r="V72" s="46" t="n">
        <f aca="false">IF(AND(ISNUMBER(P72),P72&lt;Lists!$K$2,S72&lt;&gt;"On Hold"),1,0)</f>
        <v>0</v>
      </c>
      <c r="W72" s="45" t="n">
        <f aca="false">IF(V72=1,Lists!$K$2-P72,0)</f>
        <v>0</v>
      </c>
      <c r="X72" s="45" t="n">
        <f aca="false">IF(AND(ISNUMBER(K72),S72&lt;&gt;"On Hold"),IF(Lists!$K$2-K72&gt;Lists!$K$3,1,0),0)</f>
        <v>0</v>
      </c>
      <c r="Y72" s="46" t="n">
        <f aca="false">(F72="")+IF(F72="",0,ISERROR(FIND("@",F72))*1)+(D72="")+(I72="")+(R72="Not Recorded")+(S72="Not Recorded")+(T72="Not Recorded")+((ISTEXT(J72)+ISTEXT(K72)+ISTEXT(P72))&gt;0)+IF(AND(ISNUMBER(J72),ISNUMBER(K72)),(K72&lt;J72)*1,0)+IF(ISNUMBER(K72),(K72&gt;Lists!$K$2)*1,0)+(COUNTIF($B$2:$B$79,B72)&gt;1)+IF(S72="Not Started",(N72&gt;0)*1,IF(S72="Not Recorded",0,(N72=0)*1))+IF(AND(S72&lt;&gt;"Not Started",S72&lt;&gt;"Not Recorded"),(K72="")*1,0)+(P72="")+(G72="")+IF(G72="",0,(LEFT(G72,1)&lt;&gt;"+")*1)</f>
        <v>2</v>
      </c>
      <c r="Z72" s="47" t="n">
        <f aca="false">IF(V72=1,W72+ROW()/100000,0)</f>
        <v>0</v>
      </c>
      <c r="AA72" s="45" t="n">
        <f aca="false">IF(OR(S72="In Discussion",S72="Meeting Scheduled",S72="Partnership Active"),1,0)</f>
        <v>1</v>
      </c>
      <c r="AB72" s="45" t="n">
        <f aca="false">IF(AND(S72&lt;&gt;"Not Started",S72&lt;&gt;"Not Recorded"),1,0)</f>
        <v>1</v>
      </c>
    </row>
    <row r="73" customFormat="false" ht="15" hidden="false" customHeight="false" outlineLevel="0" collapsed="false">
      <c r="A73" s="38" t="s">
        <v>560</v>
      </c>
      <c r="B73" s="38" t="s">
        <v>561</v>
      </c>
      <c r="C73" s="38" t="s">
        <v>30</v>
      </c>
      <c r="D73" s="38" t="s">
        <v>562</v>
      </c>
      <c r="E73" s="38" t="s">
        <v>198</v>
      </c>
      <c r="F73" s="38" t="s">
        <v>563</v>
      </c>
      <c r="G73" s="38" t="s">
        <v>564</v>
      </c>
      <c r="H73" s="38" t="s">
        <v>241</v>
      </c>
      <c r="I73" s="38" t="s">
        <v>44</v>
      </c>
      <c r="J73" s="44" t="n">
        <v>46210</v>
      </c>
      <c r="K73" s="44" t="n">
        <v>46210</v>
      </c>
      <c r="L73" s="38" t="s">
        <v>26</v>
      </c>
      <c r="M73" s="38" t="s">
        <v>31</v>
      </c>
      <c r="N73" s="38" t="n">
        <v>1</v>
      </c>
      <c r="O73" s="38" t="s">
        <v>194</v>
      </c>
      <c r="P73" s="44" t="n">
        <v>46235</v>
      </c>
      <c r="Q73" s="38" t="s">
        <v>187</v>
      </c>
      <c r="R73" s="45" t="str">
        <f aca="false">IF(TRIM(C73)="","Not Recorded",IFERROR(INDEX(Lists!$B$2:$B$60,MATCH(TRIM(C73),Lists!$A$2:$A$60,0)),"Not Recorded"))</f>
        <v>Africa</v>
      </c>
      <c r="S73" s="45" t="str">
        <f aca="false">IF(TRIM(L73)="","Not Recorded",IFERROR(INDEX(Lists!$E$2:$E$60,MATCH(TRIM(L73),Lists!$D$2:$D$60,0)),"Not Recorded"))</f>
        <v>No Response</v>
      </c>
      <c r="T73" s="45" t="str">
        <f aca="false">IF(TRIM(M73)="","Not Recorded",IFERROR(INDEX(Lists!$H$2:$H$60,MATCH(TRIM(M73),Lists!$G$2:$G$60,0)),"Not Recorded"))</f>
        <v>None</v>
      </c>
      <c r="U73" s="45" t="n">
        <f aca="false">IF(ISNUMBER(K73),Lists!$K$2-K73,"")</f>
        <v>91</v>
      </c>
      <c r="V73" s="46" t="n">
        <f aca="false">IF(AND(ISNUMBER(P73),P73&lt;Lists!$K$2,S73&lt;&gt;"On Hold"),1,0)</f>
        <v>1</v>
      </c>
      <c r="W73" s="45" t="n">
        <f aca="false">IF(V73=1,Lists!$K$2-P73,0)</f>
        <v>66</v>
      </c>
      <c r="X73" s="45" t="n">
        <f aca="false">IF(AND(ISNUMBER(K73),S73&lt;&gt;"On Hold"),IF(Lists!$K$2-K73&gt;Lists!$K$3,1,0),0)</f>
        <v>1</v>
      </c>
      <c r="Y73" s="46" t="n">
        <f aca="false">(F73="")+IF(F73="",0,ISERROR(FIND("@",F73))*1)+(D73="")+(I73="")+(R73="Not Recorded")+(S73="Not Recorded")+(T73="Not Recorded")+((ISTEXT(J73)+ISTEXT(K73)+ISTEXT(P73))&gt;0)+IF(AND(ISNUMBER(J73),ISNUMBER(K73)),(K73&lt;J73)*1,0)+IF(ISNUMBER(K73),(K73&gt;Lists!$K$2)*1,0)+(COUNTIF($B$2:$B$79,B73)&gt;1)+IF(S73="Not Started",(N73&gt;0)*1,IF(S73="Not Recorded",0,(N73=0)*1))+IF(AND(S73&lt;&gt;"Not Started",S73&lt;&gt;"Not Recorded"),(K73="")*1,0)+(P73="")+(G73="")+IF(G73="",0,(LEFT(G73,1)&lt;&gt;"+")*1)</f>
        <v>0</v>
      </c>
      <c r="Z73" s="47" t="n">
        <f aca="false">IF(V73=1,W73+ROW()/100000,0)</f>
        <v>66.00073</v>
      </c>
      <c r="AA73" s="45" t="n">
        <f aca="false">IF(OR(S73="In Discussion",S73="Meeting Scheduled",S73="Partnership Active"),1,0)</f>
        <v>0</v>
      </c>
      <c r="AB73" s="45" t="n">
        <f aca="false">IF(AND(S73&lt;&gt;"Not Started",S73&lt;&gt;"Not Recorded"),1,0)</f>
        <v>1</v>
      </c>
    </row>
    <row r="74" customFormat="false" ht="15" hidden="false" customHeight="false" outlineLevel="0" collapsed="false">
      <c r="A74" s="38" t="s">
        <v>565</v>
      </c>
      <c r="B74" s="38" t="s">
        <v>566</v>
      </c>
      <c r="C74" s="38" t="s">
        <v>22</v>
      </c>
      <c r="D74" s="38" t="s">
        <v>567</v>
      </c>
      <c r="E74" s="38" t="s">
        <v>238</v>
      </c>
      <c r="F74" s="38" t="s">
        <v>568</v>
      </c>
      <c r="G74" s="38" t="s">
        <v>569</v>
      </c>
      <c r="H74" s="38" t="s">
        <v>107</v>
      </c>
      <c r="I74" s="38" t="s">
        <v>44</v>
      </c>
      <c r="J74" s="38" t="s">
        <v>570</v>
      </c>
      <c r="K74" s="44" t="n">
        <v>46291</v>
      </c>
      <c r="L74" s="38" t="s">
        <v>15</v>
      </c>
      <c r="M74" s="38" t="s">
        <v>25</v>
      </c>
      <c r="N74" s="38" t="n">
        <v>2</v>
      </c>
      <c r="O74" s="38" t="s">
        <v>234</v>
      </c>
      <c r="P74" s="44" t="n">
        <v>46307</v>
      </c>
      <c r="Q74" s="38"/>
      <c r="R74" s="45" t="str">
        <f aca="false">IF(TRIM(C74)="","Not Recorded",IFERROR(INDEX(Lists!$B$2:$B$60,MATCH(TRIM(C74),Lists!$A$2:$A$60,0)),"Not Recorded"))</f>
        <v>Europe</v>
      </c>
      <c r="S74" s="45" t="str">
        <f aca="false">IF(TRIM(L74)="","Not Recorded",IFERROR(INDEX(Lists!$E$2:$E$60,MATCH(TRIM(L74),Lists!$D$2:$D$60,0)),"Not Recorded"))</f>
        <v>Contacted</v>
      </c>
      <c r="T74" s="45" t="str">
        <f aca="false">IF(TRIM(M74)="","Not Recorded",IFERROR(INDEX(Lists!$H$2:$H$60,MATCH(TRIM(M74),Lists!$G$2:$G$60,0)),"Not Recorded"))</f>
        <v>Medium</v>
      </c>
      <c r="U74" s="45" t="n">
        <f aca="false">IF(ISNUMBER(K74),Lists!$K$2-K74,"")</f>
        <v>10</v>
      </c>
      <c r="V74" s="46" t="n">
        <f aca="false">IF(AND(ISNUMBER(P74),P74&lt;Lists!$K$2,S74&lt;&gt;"On Hold"),1,0)</f>
        <v>0</v>
      </c>
      <c r="W74" s="45" t="n">
        <f aca="false">IF(V74=1,Lists!$K$2-P74,0)</f>
        <v>0</v>
      </c>
      <c r="X74" s="45" t="n">
        <f aca="false">IF(AND(ISNUMBER(K74),S74&lt;&gt;"On Hold"),IF(Lists!$K$2-K74&gt;Lists!$K$3,1,0),0)</f>
        <v>0</v>
      </c>
      <c r="Y74" s="46" t="n">
        <f aca="false">(F74="")+IF(F74="",0,ISERROR(FIND("@",F74))*1)+(D74="")+(I74="")+(R74="Not Recorded")+(S74="Not Recorded")+(T74="Not Recorded")+((ISTEXT(J74)+ISTEXT(K74)+ISTEXT(P74))&gt;0)+IF(AND(ISNUMBER(J74),ISNUMBER(K74)),(K74&lt;J74)*1,0)+IF(ISNUMBER(K74),(K74&gt;Lists!$K$2)*1,0)+(COUNTIF($B$2:$B$79,B74)&gt;1)+IF(S74="Not Started",(N74&gt;0)*1,IF(S74="Not Recorded",0,(N74=0)*1))+IF(AND(S74&lt;&gt;"Not Started",S74&lt;&gt;"Not Recorded"),(K74="")*1,0)+(P74="")+(G74="")+IF(G74="",0,(LEFT(G74,1)&lt;&gt;"+")*1)</f>
        <v>1</v>
      </c>
      <c r="Z74" s="47" t="n">
        <f aca="false">IF(V74=1,W74+ROW()/100000,0)</f>
        <v>0</v>
      </c>
      <c r="AA74" s="45" t="n">
        <f aca="false">IF(OR(S74="In Discussion",S74="Meeting Scheduled",S74="Partnership Active"),1,0)</f>
        <v>0</v>
      </c>
      <c r="AB74" s="45" t="n">
        <f aca="false">IF(AND(S74&lt;&gt;"Not Started",S74&lt;&gt;"Not Recorded"),1,0)</f>
        <v>1</v>
      </c>
    </row>
    <row r="75" customFormat="false" ht="15" hidden="false" customHeight="false" outlineLevel="0" collapsed="false">
      <c r="A75" s="38" t="s">
        <v>571</v>
      </c>
      <c r="B75" s="38" t="s">
        <v>181</v>
      </c>
      <c r="C75" s="38" t="s">
        <v>33</v>
      </c>
      <c r="D75" s="38" t="s">
        <v>572</v>
      </c>
      <c r="E75" s="38" t="s">
        <v>183</v>
      </c>
      <c r="F75" s="38" t="s">
        <v>573</v>
      </c>
      <c r="G75" s="38" t="s">
        <v>574</v>
      </c>
      <c r="H75" s="38" t="s">
        <v>107</v>
      </c>
      <c r="I75" s="38"/>
      <c r="J75" s="38"/>
      <c r="K75" s="38"/>
      <c r="L75" s="38" t="s">
        <v>21</v>
      </c>
      <c r="M75" s="38" t="s">
        <v>31</v>
      </c>
      <c r="N75" s="38" t="n">
        <v>0</v>
      </c>
      <c r="O75" s="38" t="s">
        <v>186</v>
      </c>
      <c r="P75" s="44" t="n">
        <v>46314</v>
      </c>
      <c r="Q75" s="38" t="s">
        <v>575</v>
      </c>
      <c r="R75" s="45" t="str">
        <f aca="false">IF(TRIM(C75)="","Not Recorded",IFERROR(INDEX(Lists!$B$2:$B$60,MATCH(TRIM(C75),Lists!$A$2:$A$60,0)),"Not Recorded"))</f>
        <v>Americas</v>
      </c>
      <c r="S75" s="45" t="str">
        <f aca="false">IF(TRIM(L75)="","Not Recorded",IFERROR(INDEX(Lists!$E$2:$E$60,MATCH(TRIM(L75),Lists!$D$2:$D$60,0)),"Not Recorded"))</f>
        <v>Not Started</v>
      </c>
      <c r="T75" s="45" t="str">
        <f aca="false">IF(TRIM(M75)="","Not Recorded",IFERROR(INDEX(Lists!$H$2:$H$60,MATCH(TRIM(M75),Lists!$G$2:$G$60,0)),"Not Recorded"))</f>
        <v>None</v>
      </c>
      <c r="U75" s="45" t="str">
        <f aca="false">IF(ISNUMBER(K75),Lists!$K$2-K75,"")</f>
        <v/>
      </c>
      <c r="V75" s="46" t="n">
        <f aca="false">IF(AND(ISNUMBER(P75),P75&lt;Lists!$K$2,S75&lt;&gt;"On Hold"),1,0)</f>
        <v>0</v>
      </c>
      <c r="W75" s="45" t="n">
        <f aca="false">IF(V75=1,Lists!$K$2-P75,0)</f>
        <v>0</v>
      </c>
      <c r="X75" s="45" t="n">
        <f aca="false">IF(AND(ISNUMBER(K75),S75&lt;&gt;"On Hold"),IF(Lists!$K$2-K75&gt;Lists!$K$3,1,0),0)</f>
        <v>0</v>
      </c>
      <c r="Y75" s="46" t="n">
        <f aca="false">(F75="")+IF(F75="",0,ISERROR(FIND("@",F75))*1)+(D75="")+(I75="")+(R75="Not Recorded")+(S75="Not Recorded")+(T75="Not Recorded")+((ISTEXT(J75)+ISTEXT(K75)+ISTEXT(P75))&gt;0)+IF(AND(ISNUMBER(J75),ISNUMBER(K75)),(K75&lt;J75)*1,0)+IF(ISNUMBER(K75),(K75&gt;Lists!$K$2)*1,0)+(COUNTIF($B$2:$B$79,B75)&gt;1)+IF(S75="Not Started",(N75&gt;0)*1,IF(S75="Not Recorded",0,(N75=0)*1))+IF(AND(S75&lt;&gt;"Not Started",S75&lt;&gt;"Not Recorded"),(K75="")*1,0)+(P75="")+(G75="")+IF(G75="",0,(LEFT(G75,1)&lt;&gt;"+")*1)</f>
        <v>3</v>
      </c>
      <c r="Z75" s="47" t="n">
        <f aca="false">IF(V75=1,W75+ROW()/100000,0)</f>
        <v>0</v>
      </c>
      <c r="AA75" s="45" t="n">
        <f aca="false">IF(OR(S75="In Discussion",S75="Meeting Scheduled",S75="Partnership Active"),1,0)</f>
        <v>0</v>
      </c>
      <c r="AB75" s="45" t="n">
        <f aca="false">IF(AND(S75&lt;&gt;"Not Started",S75&lt;&gt;"Not Recorded"),1,0)</f>
        <v>0</v>
      </c>
    </row>
    <row r="76" customFormat="false" ht="15" hidden="false" customHeight="false" outlineLevel="0" collapsed="false">
      <c r="A76" s="38" t="s">
        <v>576</v>
      </c>
      <c r="B76" s="38" t="s">
        <v>385</v>
      </c>
      <c r="C76" s="38" t="s">
        <v>22</v>
      </c>
      <c r="D76" s="38" t="s">
        <v>577</v>
      </c>
      <c r="E76" s="38" t="s">
        <v>238</v>
      </c>
      <c r="F76" s="38" t="s">
        <v>578</v>
      </c>
      <c r="G76" s="38" t="s">
        <v>388</v>
      </c>
      <c r="H76" s="38" t="s">
        <v>107</v>
      </c>
      <c r="I76" s="38" t="s">
        <v>52</v>
      </c>
      <c r="J76" s="44" t="n">
        <v>46248</v>
      </c>
      <c r="K76" s="44" t="n">
        <v>46248</v>
      </c>
      <c r="L76" s="38"/>
      <c r="M76" s="38" t="s">
        <v>25</v>
      </c>
      <c r="N76" s="38" t="n">
        <v>1</v>
      </c>
      <c r="O76" s="38" t="s">
        <v>234</v>
      </c>
      <c r="P76" s="38"/>
      <c r="Q76" s="38" t="s">
        <v>575</v>
      </c>
      <c r="R76" s="45" t="str">
        <f aca="false">IF(TRIM(C76)="","Not Recorded",IFERROR(INDEX(Lists!$B$2:$B$60,MATCH(TRIM(C76),Lists!$A$2:$A$60,0)),"Not Recorded"))</f>
        <v>Europe</v>
      </c>
      <c r="S76" s="45" t="str">
        <f aca="false">IF(TRIM(L76)="","Not Recorded",IFERROR(INDEX(Lists!$E$2:$E$60,MATCH(TRIM(L76),Lists!$D$2:$D$60,0)),"Not Recorded"))</f>
        <v>Not Recorded</v>
      </c>
      <c r="T76" s="45" t="str">
        <f aca="false">IF(TRIM(M76)="","Not Recorded",IFERROR(INDEX(Lists!$H$2:$H$60,MATCH(TRIM(M76),Lists!$G$2:$G$60,0)),"Not Recorded"))</f>
        <v>Medium</v>
      </c>
      <c r="U76" s="45" t="n">
        <f aca="false">IF(ISNUMBER(K76),Lists!$K$2-K76,"")</f>
        <v>53</v>
      </c>
      <c r="V76" s="46" t="n">
        <f aca="false">IF(AND(ISNUMBER(P76),P76&lt;Lists!$K$2,S76&lt;&gt;"On Hold"),1,0)</f>
        <v>0</v>
      </c>
      <c r="W76" s="45" t="n">
        <f aca="false">IF(V76=1,Lists!$K$2-P76,0)</f>
        <v>0</v>
      </c>
      <c r="X76" s="45" t="n">
        <f aca="false">IF(AND(ISNUMBER(K76),S76&lt;&gt;"On Hold"),IF(Lists!$K$2-K76&gt;Lists!$K$3,1,0),0)</f>
        <v>1</v>
      </c>
      <c r="Y76" s="46" t="n">
        <f aca="false">(F76="")+IF(F76="",0,ISERROR(FIND("@",F76))*1)+(D76="")+(I76="")+(R76="Not Recorded")+(S76="Not Recorded")+(T76="Not Recorded")+((ISTEXT(J76)+ISTEXT(K76)+ISTEXT(P76))&gt;0)+IF(AND(ISNUMBER(J76),ISNUMBER(K76)),(K76&lt;J76)*1,0)+IF(ISNUMBER(K76),(K76&gt;Lists!$K$2)*1,0)+(COUNTIF($B$2:$B$79,B76)&gt;1)+IF(S76="Not Started",(N76&gt;0)*1,IF(S76="Not Recorded",0,(N76=0)*1))+IF(AND(S76&lt;&gt;"Not Started",S76&lt;&gt;"Not Recorded"),(K76="")*1,0)+(P76="")+(G76="")+IF(G76="",0,(LEFT(G76,1)&lt;&gt;"+")*1)</f>
        <v>3</v>
      </c>
      <c r="Z76" s="47" t="n">
        <f aca="false">IF(V76=1,W76+ROW()/100000,0)</f>
        <v>0</v>
      </c>
      <c r="AA76" s="45" t="n">
        <f aca="false">IF(OR(S76="In Discussion",S76="Meeting Scheduled",S76="Partnership Active"),1,0)</f>
        <v>0</v>
      </c>
      <c r="AB76" s="45" t="n">
        <f aca="false">IF(AND(S76&lt;&gt;"Not Started",S76&lt;&gt;"Not Recorded"),1,0)</f>
        <v>0</v>
      </c>
    </row>
    <row r="77" customFormat="false" ht="15" hidden="false" customHeight="false" outlineLevel="0" collapsed="false">
      <c r="A77" s="38" t="s">
        <v>579</v>
      </c>
      <c r="B77" s="38" t="s">
        <v>396</v>
      </c>
      <c r="C77" s="38" t="s">
        <v>22</v>
      </c>
      <c r="D77" s="38" t="s">
        <v>580</v>
      </c>
      <c r="E77" s="38" t="s">
        <v>190</v>
      </c>
      <c r="F77" s="38" t="s">
        <v>581</v>
      </c>
      <c r="G77" s="38" t="s">
        <v>582</v>
      </c>
      <c r="H77" s="38" t="s">
        <v>215</v>
      </c>
      <c r="I77" s="38"/>
      <c r="J77" s="44" t="n">
        <v>46282</v>
      </c>
      <c r="K77" s="44" t="n">
        <v>46282</v>
      </c>
      <c r="L77" s="38" t="s">
        <v>15</v>
      </c>
      <c r="M77" s="38" t="s">
        <v>28</v>
      </c>
      <c r="N77" s="38" t="n">
        <v>1</v>
      </c>
      <c r="O77" s="38" t="s">
        <v>234</v>
      </c>
      <c r="P77" s="44" t="n">
        <v>46296</v>
      </c>
      <c r="Q77" s="38" t="s">
        <v>575</v>
      </c>
      <c r="R77" s="45" t="str">
        <f aca="false">IF(TRIM(C77)="","Not Recorded",IFERROR(INDEX(Lists!$B$2:$B$60,MATCH(TRIM(C77),Lists!$A$2:$A$60,0)),"Not Recorded"))</f>
        <v>Europe</v>
      </c>
      <c r="S77" s="45" t="str">
        <f aca="false">IF(TRIM(L77)="","Not Recorded",IFERROR(INDEX(Lists!$E$2:$E$60,MATCH(TRIM(L77),Lists!$D$2:$D$60,0)),"Not Recorded"))</f>
        <v>Contacted</v>
      </c>
      <c r="T77" s="45" t="str">
        <f aca="false">IF(TRIM(M77)="","Not Recorded",IFERROR(INDEX(Lists!$H$2:$H$60,MATCH(TRIM(M77),Lists!$G$2:$G$60,0)),"Not Recorded"))</f>
        <v>Low</v>
      </c>
      <c r="U77" s="45" t="n">
        <f aca="false">IF(ISNUMBER(K77),Lists!$K$2-K77,"")</f>
        <v>19</v>
      </c>
      <c r="V77" s="46" t="n">
        <f aca="false">IF(AND(ISNUMBER(P77),P77&lt;Lists!$K$2,S77&lt;&gt;"On Hold"),1,0)</f>
        <v>1</v>
      </c>
      <c r="W77" s="45" t="n">
        <f aca="false">IF(V77=1,Lists!$K$2-P77,0)</f>
        <v>5</v>
      </c>
      <c r="X77" s="45" t="n">
        <f aca="false">IF(AND(ISNUMBER(K77),S77&lt;&gt;"On Hold"),IF(Lists!$K$2-K77&gt;Lists!$K$3,1,0),0)</f>
        <v>0</v>
      </c>
      <c r="Y77" s="46" t="n">
        <f aca="false">(F77="")+IF(F77="",0,ISERROR(FIND("@",F77))*1)+(D77="")+(I77="")+(R77="Not Recorded")+(S77="Not Recorded")+(T77="Not Recorded")+((ISTEXT(J77)+ISTEXT(K77)+ISTEXT(P77))&gt;0)+IF(AND(ISNUMBER(J77),ISNUMBER(K77)),(K77&lt;J77)*1,0)+IF(ISNUMBER(K77),(K77&gt;Lists!$K$2)*1,0)+(COUNTIF($B$2:$B$79,B77)&gt;1)+IF(S77="Not Started",(N77&gt;0)*1,IF(S77="Not Recorded",0,(N77=0)*1))+IF(AND(S77&lt;&gt;"Not Started",S77&lt;&gt;"Not Recorded"),(K77="")*1,0)+(P77="")+(G77="")+IF(G77="",0,(LEFT(G77,1)&lt;&gt;"+")*1)</f>
        <v>3</v>
      </c>
      <c r="Z77" s="47" t="n">
        <f aca="false">IF(V77=1,W77+ROW()/100000,0)</f>
        <v>5.00077</v>
      </c>
      <c r="AA77" s="45" t="n">
        <f aca="false">IF(OR(S77="In Discussion",S77="Meeting Scheduled",S77="Partnership Active"),1,0)</f>
        <v>0</v>
      </c>
      <c r="AB77" s="45" t="n">
        <f aca="false">IF(AND(S77&lt;&gt;"Not Started",S77&lt;&gt;"Not Recorded"),1,0)</f>
        <v>1</v>
      </c>
    </row>
    <row r="78" customFormat="false" ht="15" hidden="false" customHeight="false" outlineLevel="0" collapsed="false">
      <c r="A78" s="38" t="s">
        <v>583</v>
      </c>
      <c r="B78" s="38" t="s">
        <v>517</v>
      </c>
      <c r="C78" s="38" t="s">
        <v>24</v>
      </c>
      <c r="D78" s="38" t="s">
        <v>584</v>
      </c>
      <c r="E78" s="38" t="s">
        <v>252</v>
      </c>
      <c r="F78" s="38" t="s">
        <v>585</v>
      </c>
      <c r="G78" s="38" t="s">
        <v>520</v>
      </c>
      <c r="H78" s="38" t="s">
        <v>261</v>
      </c>
      <c r="I78" s="38" t="s">
        <v>54</v>
      </c>
      <c r="J78" s="44" t="n">
        <v>46172</v>
      </c>
      <c r="K78" s="44" t="n">
        <v>46258</v>
      </c>
      <c r="L78" s="38" t="s">
        <v>489</v>
      </c>
      <c r="M78" s="38" t="s">
        <v>500</v>
      </c>
      <c r="N78" s="38" t="n">
        <v>8</v>
      </c>
      <c r="O78" s="38" t="s">
        <v>242</v>
      </c>
      <c r="P78" s="44" t="n">
        <v>46274</v>
      </c>
      <c r="Q78" s="38" t="s">
        <v>575</v>
      </c>
      <c r="R78" s="45" t="str">
        <f aca="false">IF(TRIM(C78)="","Not Recorded",IFERROR(INDEX(Lists!$B$2:$B$60,MATCH(TRIM(C78),Lists!$A$2:$A$60,0)),"Not Recorded"))</f>
        <v>Asia-Pacific</v>
      </c>
      <c r="S78" s="45" t="str">
        <f aca="false">IF(TRIM(L78)="","Not Recorded",IFERROR(INDEX(Lists!$E$2:$E$60,MATCH(TRIM(L78),Lists!$D$2:$D$60,0)),"Not Recorded"))</f>
        <v>Partnership Active</v>
      </c>
      <c r="T78" s="45" t="str">
        <f aca="false">IF(TRIM(M78)="","Not Recorded",IFERROR(INDEX(Lists!$H$2:$H$60,MATCH(TRIM(M78),Lists!$G$2:$G$60,0)),"Not Recorded"))</f>
        <v>Medium</v>
      </c>
      <c r="U78" s="45" t="n">
        <f aca="false">IF(ISNUMBER(K78),Lists!$K$2-K78,"")</f>
        <v>43</v>
      </c>
      <c r="V78" s="46" t="n">
        <f aca="false">IF(AND(ISNUMBER(P78),P78&lt;Lists!$K$2,S78&lt;&gt;"On Hold"),1,0)</f>
        <v>1</v>
      </c>
      <c r="W78" s="45" t="n">
        <f aca="false">IF(V78=1,Lists!$K$2-P78,0)</f>
        <v>27</v>
      </c>
      <c r="X78" s="45" t="n">
        <f aca="false">IF(AND(ISNUMBER(K78),S78&lt;&gt;"On Hold"),IF(Lists!$K$2-K78&gt;Lists!$K$3,1,0),0)</f>
        <v>1</v>
      </c>
      <c r="Y78" s="46" t="n">
        <f aca="false">(F78="")+IF(F78="",0,ISERROR(FIND("@",F78))*1)+(D78="")+(I78="")+(R78="Not Recorded")+(S78="Not Recorded")+(T78="Not Recorded")+((ISTEXT(J78)+ISTEXT(K78)+ISTEXT(P78))&gt;0)+IF(AND(ISNUMBER(J78),ISNUMBER(K78)),(K78&lt;J78)*1,0)+IF(ISNUMBER(K78),(K78&gt;Lists!$K$2)*1,0)+(COUNTIF($B$2:$B$79,B78)&gt;1)+IF(S78="Not Started",(N78&gt;0)*1,IF(S78="Not Recorded",0,(N78=0)*1))+IF(AND(S78&lt;&gt;"Not Started",S78&lt;&gt;"Not Recorded"),(K78="")*1,0)+(P78="")+(G78="")+IF(G78="",0,(LEFT(G78,1)&lt;&gt;"+")*1)</f>
        <v>1</v>
      </c>
      <c r="Z78" s="47" t="n">
        <f aca="false">IF(V78=1,W78+ROW()/100000,0)</f>
        <v>27.00078</v>
      </c>
      <c r="AA78" s="45" t="n">
        <f aca="false">IF(OR(S78="In Discussion",S78="Meeting Scheduled",S78="Partnership Active"),1,0)</f>
        <v>1</v>
      </c>
      <c r="AB78" s="45" t="n">
        <f aca="false">IF(AND(S78&lt;&gt;"Not Started",S78&lt;&gt;"Not Recorded"),1,0)</f>
        <v>1</v>
      </c>
    </row>
    <row r="79" customFormat="false" ht="15" hidden="false" customHeight="false" outlineLevel="0" collapsed="false">
      <c r="A79" s="38" t="s">
        <v>586</v>
      </c>
      <c r="B79" s="38" t="s">
        <v>301</v>
      </c>
      <c r="C79" s="38" t="s">
        <v>27</v>
      </c>
      <c r="D79" s="38" t="s">
        <v>587</v>
      </c>
      <c r="E79" s="38" t="s">
        <v>252</v>
      </c>
      <c r="F79" s="38" t="s">
        <v>588</v>
      </c>
      <c r="G79" s="38" t="s">
        <v>305</v>
      </c>
      <c r="H79" s="38" t="s">
        <v>261</v>
      </c>
      <c r="I79" s="38" t="s">
        <v>50</v>
      </c>
      <c r="J79" s="44" t="n">
        <v>46177</v>
      </c>
      <c r="K79" s="38" t="s">
        <v>589</v>
      </c>
      <c r="L79" s="38" t="s">
        <v>32</v>
      </c>
      <c r="M79" s="38" t="s">
        <v>590</v>
      </c>
      <c r="N79" s="38" t="n">
        <v>7</v>
      </c>
      <c r="O79" s="38" t="s">
        <v>262</v>
      </c>
      <c r="P79" s="44" t="n">
        <v>46310</v>
      </c>
      <c r="Q79" s="38" t="s">
        <v>575</v>
      </c>
      <c r="R79" s="45" t="str">
        <f aca="false">IF(TRIM(C79)="","Not Recorded",IFERROR(INDEX(Lists!$B$2:$B$60,MATCH(TRIM(C79),Lists!$A$2:$A$60,0)),"Not Recorded"))</f>
        <v>Middle East</v>
      </c>
      <c r="S79" s="45" t="str">
        <f aca="false">IF(TRIM(L79)="","Not Recorded",IFERROR(INDEX(Lists!$E$2:$E$60,MATCH(TRIM(L79),Lists!$D$2:$D$60,0)),"Not Recorded"))</f>
        <v>Meeting Scheduled</v>
      </c>
      <c r="T79" s="45" t="str">
        <f aca="false">IF(TRIM(M79)="","Not Recorded",IFERROR(INDEX(Lists!$H$2:$H$60,MATCH(TRIM(M79),Lists!$G$2:$G$60,0)),"Not Recorded"))</f>
        <v>High</v>
      </c>
      <c r="U79" s="45" t="str">
        <f aca="false">IF(ISNUMBER(K79),Lists!$K$2-K79,"")</f>
        <v/>
      </c>
      <c r="V79" s="46" t="n">
        <f aca="false">IF(AND(ISNUMBER(P79),P79&lt;Lists!$K$2,S79&lt;&gt;"On Hold"),1,0)</f>
        <v>0</v>
      </c>
      <c r="W79" s="45" t="n">
        <f aca="false">IF(V79=1,Lists!$K$2-P79,0)</f>
        <v>0</v>
      </c>
      <c r="X79" s="45" t="n">
        <f aca="false">IF(AND(ISNUMBER(K79),S79&lt;&gt;"On Hold"),IF(Lists!$K$2-K79&gt;Lists!$K$3,1,0),0)</f>
        <v>0</v>
      </c>
      <c r="Y79" s="46" t="n">
        <f aca="false">(F79="")+IF(F79="",0,ISERROR(FIND("@",F79))*1)+(D79="")+(I79="")+(R79="Not Recorded")+(S79="Not Recorded")+(T79="Not Recorded")+((ISTEXT(J79)+ISTEXT(K79)+ISTEXT(P79))&gt;0)+IF(AND(ISNUMBER(J79),ISNUMBER(K79)),(K79&lt;J79)*1,0)+IF(ISNUMBER(K79),(K79&gt;Lists!$K$2)*1,0)+(COUNTIF($B$2:$B$79,B79)&gt;1)+IF(S79="Not Started",(N79&gt;0)*1,IF(S79="Not Recorded",0,(N79=0)*1))+IF(AND(S79&lt;&gt;"Not Started",S79&lt;&gt;"Not Recorded"),(K79="")*1,0)+(P79="")+(G79="")+IF(G79="",0,(LEFT(G79,1)&lt;&gt;"+")*1)</f>
        <v>2</v>
      </c>
      <c r="Z79" s="47" t="n">
        <f aca="false">IF(V79=1,W79+ROW()/100000,0)</f>
        <v>0</v>
      </c>
      <c r="AA79" s="45" t="n">
        <f aca="false">IF(OR(S79="In Discussion",S79="Meeting Scheduled",S79="Partnership Active"),1,0)</f>
        <v>1</v>
      </c>
      <c r="AB79" s="45" t="n">
        <f aca="false">IF(AND(S79&lt;&gt;"Not Started",S79&lt;&gt;"Not Recorded"),1,0)</f>
        <v>1</v>
      </c>
    </row>
  </sheetData>
  <autoFilter ref="A1:AB79"/>
  <conditionalFormatting sqref="Y2:Y79">
    <cfRule type="cellIs" priority="2" operator="greaterThan" aboveAverage="0" equalAverage="0" bottom="0" percent="0" rank="0" text="" dxfId="0">
      <formula>0</formula>
    </cfRule>
  </conditionalFormatting>
  <conditionalFormatting sqref="V2:V79">
    <cfRule type="cellIs" priority="3" operator="equal" aboveAverage="0" equalAverage="0" bottom="0" percent="0" rank="0" text="" dxfId="1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3"/>
    <col collapsed="false" customWidth="true" hidden="false" outlineLevel="0" max="10" min="10" style="0" width="32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48" t="s">
        <v>591</v>
      </c>
      <c r="B1" s="48" t="s">
        <v>592</v>
      </c>
      <c r="D1" s="48" t="s">
        <v>593</v>
      </c>
      <c r="E1" s="48" t="s">
        <v>594</v>
      </c>
      <c r="G1" s="48" t="s">
        <v>595</v>
      </c>
      <c r="H1" s="48" t="s">
        <v>596</v>
      </c>
      <c r="J1" s="48" t="s">
        <v>597</v>
      </c>
      <c r="K1" s="48" t="s">
        <v>598</v>
      </c>
    </row>
    <row r="2" customFormat="false" ht="15" hidden="false" customHeight="false" outlineLevel="0" collapsed="false">
      <c r="A2" s="49" t="s">
        <v>22</v>
      </c>
      <c r="B2" s="49" t="s">
        <v>22</v>
      </c>
      <c r="D2" s="49" t="s">
        <v>21</v>
      </c>
      <c r="E2" s="49" t="s">
        <v>21</v>
      </c>
      <c r="G2" s="49" t="s">
        <v>23</v>
      </c>
      <c r="H2" s="49" t="s">
        <v>23</v>
      </c>
      <c r="J2" s="49" t="s">
        <v>599</v>
      </c>
      <c r="K2" s="50" t="n">
        <v>46301</v>
      </c>
    </row>
    <row r="3" customFormat="false" ht="15" hidden="false" customHeight="false" outlineLevel="0" collapsed="false">
      <c r="A3" s="49" t="s">
        <v>24</v>
      </c>
      <c r="B3" s="49" t="s">
        <v>24</v>
      </c>
      <c r="D3" s="49" t="s">
        <v>15</v>
      </c>
      <c r="E3" s="49" t="s">
        <v>15</v>
      </c>
      <c r="G3" s="49" t="s">
        <v>25</v>
      </c>
      <c r="H3" s="49" t="s">
        <v>25</v>
      </c>
      <c r="J3" s="49" t="s">
        <v>600</v>
      </c>
      <c r="K3" s="51" t="n">
        <v>30</v>
      </c>
    </row>
    <row r="4" customFormat="false" ht="15" hidden="false" customHeight="false" outlineLevel="0" collapsed="false">
      <c r="A4" s="49" t="s">
        <v>27</v>
      </c>
      <c r="B4" s="49" t="s">
        <v>27</v>
      </c>
      <c r="D4" s="49" t="s">
        <v>26</v>
      </c>
      <c r="E4" s="49" t="s">
        <v>26</v>
      </c>
      <c r="G4" s="49" t="s">
        <v>28</v>
      </c>
      <c r="H4" s="49" t="s">
        <v>28</v>
      </c>
    </row>
    <row r="5" customFormat="false" ht="15" hidden="false" customHeight="false" outlineLevel="0" collapsed="false">
      <c r="A5" s="49" t="s">
        <v>30</v>
      </c>
      <c r="B5" s="49" t="s">
        <v>30</v>
      </c>
      <c r="D5" s="49" t="s">
        <v>29</v>
      </c>
      <c r="E5" s="49" t="s">
        <v>29</v>
      </c>
      <c r="G5" s="49" t="s">
        <v>31</v>
      </c>
      <c r="H5" s="49" t="s">
        <v>31</v>
      </c>
      <c r="J5" s="52" t="s">
        <v>601</v>
      </c>
    </row>
    <row r="6" customFormat="false" ht="15" hidden="false" customHeight="false" outlineLevel="0" collapsed="false">
      <c r="A6" s="49" t="s">
        <v>33</v>
      </c>
      <c r="B6" s="49" t="s">
        <v>33</v>
      </c>
      <c r="D6" s="49" t="s">
        <v>32</v>
      </c>
      <c r="E6" s="49" t="s">
        <v>32</v>
      </c>
      <c r="G6" s="49" t="s">
        <v>500</v>
      </c>
      <c r="H6" s="49" t="s">
        <v>25</v>
      </c>
    </row>
    <row r="7" customFormat="false" ht="15" hidden="false" customHeight="false" outlineLevel="0" collapsed="false">
      <c r="A7" s="49" t="s">
        <v>602</v>
      </c>
      <c r="B7" s="49" t="s">
        <v>24</v>
      </c>
      <c r="D7" s="49" t="s">
        <v>35</v>
      </c>
      <c r="E7" s="49" t="s">
        <v>35</v>
      </c>
      <c r="G7" s="49" t="s">
        <v>603</v>
      </c>
      <c r="H7" s="49" t="s">
        <v>31</v>
      </c>
    </row>
    <row r="8" customFormat="false" ht="15" hidden="false" customHeight="false" outlineLevel="0" collapsed="false">
      <c r="A8" s="49" t="s">
        <v>604</v>
      </c>
      <c r="B8" s="49" t="s">
        <v>24</v>
      </c>
      <c r="D8" s="49" t="s">
        <v>37</v>
      </c>
      <c r="E8" s="49" t="s">
        <v>37</v>
      </c>
    </row>
    <row r="9" customFormat="false" ht="15" hidden="false" customHeight="false" outlineLevel="0" collapsed="false">
      <c r="A9" s="49" t="s">
        <v>302</v>
      </c>
      <c r="B9" s="49" t="s">
        <v>27</v>
      </c>
      <c r="D9" s="49" t="s">
        <v>605</v>
      </c>
      <c r="E9" s="49" t="s">
        <v>29</v>
      </c>
    </row>
    <row r="10" customFormat="false" ht="15" hidden="false" customHeight="false" outlineLevel="0" collapsed="false">
      <c r="A10" s="49" t="s">
        <v>606</v>
      </c>
      <c r="B10" s="49" t="s">
        <v>27</v>
      </c>
      <c r="D10" s="49" t="s">
        <v>607</v>
      </c>
      <c r="E10" s="49" t="s">
        <v>26</v>
      </c>
    </row>
    <row r="11" customFormat="false" ht="15" hidden="false" customHeight="false" outlineLevel="0" collapsed="false">
      <c r="A11" s="49" t="s">
        <v>608</v>
      </c>
      <c r="B11" s="49" t="s">
        <v>33</v>
      </c>
      <c r="D11" s="49" t="s">
        <v>609</v>
      </c>
      <c r="E11" s="49" t="s">
        <v>32</v>
      </c>
    </row>
    <row r="12" customFormat="false" ht="15" hidden="false" customHeight="false" outlineLevel="0" collapsed="false">
      <c r="D12" s="49" t="s">
        <v>489</v>
      </c>
      <c r="E12" s="49" t="s">
        <v>35</v>
      </c>
    </row>
    <row r="13" customFormat="false" ht="15" hidden="false" customHeight="false" outlineLevel="0" collapsed="false">
      <c r="D13" s="49" t="s">
        <v>610</v>
      </c>
      <c r="E13" s="4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2026-10-06T09:14:26Z</dcterms:created>
  <dc:creator>openpyxl</dc:creator>
  <dc:description/>
  <dc:language>en-US</dc:language>
  <cp:lastModifiedBy/>
  <dcterms:modified xsi:type="dcterms:W3CDTF">2026-10-06T09:14:29Z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